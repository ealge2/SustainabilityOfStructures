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08_Diverses\14_PR_Sustainability\10_Projektbearbeitung\01_Datenbank\"/>
    </mc:Choice>
  </mc:AlternateContent>
  <xr:revisionPtr revIDLastSave="0" documentId="13_ncr:1_{E81501E7-779C-44CE-B5F6-5018776AD143}" xr6:coauthVersionLast="47" xr6:coauthVersionMax="47" xr10:uidLastSave="{00000000-0000-0000-0000-000000000000}"/>
  <bookViews>
    <workbookView xWindow="-28920" yWindow="255" windowWidth="29040" windowHeight="15720" xr2:uid="{58B6788A-438B-478E-898A-D53025B55ED1}"/>
  </bookViews>
  <sheets>
    <sheet name="products" sheetId="1" r:id="rId1"/>
    <sheet name="material_prop" sheetId="2" r:id="rId2"/>
    <sheet name="floor_struc_pro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03" i="1" l="1"/>
  <c r="U103" i="1"/>
  <c r="T36" i="1"/>
  <c r="T35" i="1"/>
  <c r="T34" i="1"/>
  <c r="T33" i="1"/>
  <c r="T32" i="1"/>
  <c r="T31" i="1"/>
  <c r="U30" i="1"/>
  <c r="V119" i="1"/>
  <c r="T119" i="1" s="1"/>
  <c r="W119" i="1" s="1"/>
  <c r="V121" i="1"/>
  <c r="U121" i="1"/>
  <c r="T121" i="1" s="1"/>
  <c r="W121" i="1" s="1"/>
  <c r="V120" i="1"/>
  <c r="T120" i="1" s="1"/>
  <c r="W120" i="1" s="1"/>
  <c r="V118" i="1"/>
  <c r="T118" i="1" s="1"/>
  <c r="V117" i="1"/>
  <c r="T117" i="1" s="1"/>
  <c r="W117" i="1" s="1"/>
  <c r="V116" i="1"/>
  <c r="T116" i="1" s="1"/>
  <c r="W116" i="1" s="1"/>
  <c r="V115" i="1"/>
  <c r="T115" i="1" s="1"/>
  <c r="W115" i="1" s="1"/>
  <c r="V114" i="1"/>
  <c r="U114" i="1"/>
  <c r="T113" i="1"/>
  <c r="W113" i="1" s="1"/>
  <c r="T112" i="1"/>
  <c r="W112" i="1" s="1"/>
  <c r="V111" i="1"/>
  <c r="U111" i="1"/>
  <c r="U104" i="1"/>
  <c r="T114" i="1" l="1"/>
  <c r="W114" i="1" s="1"/>
  <c r="T103" i="1"/>
  <c r="W103" i="1" s="1"/>
  <c r="T111" i="1"/>
  <c r="W111" i="1" s="1"/>
  <c r="V93" i="1"/>
  <c r="U75" i="1"/>
  <c r="U90" i="1"/>
  <c r="T90" i="1" s="1"/>
  <c r="V102" i="1"/>
  <c r="V101" i="1"/>
  <c r="U101" i="1"/>
  <c r="G4" i="4"/>
  <c r="E2" i="4"/>
  <c r="G2" i="4" s="1"/>
  <c r="W7" i="1"/>
  <c r="X7" i="1" s="1" a="1"/>
  <c r="X7" i="1" s="1"/>
  <c r="W8" i="1"/>
  <c r="X8" i="1" s="1" a="1"/>
  <c r="X8" i="1" s="1"/>
  <c r="W9" i="1"/>
  <c r="X9" i="1" s="1" a="1"/>
  <c r="X9" i="1" s="1"/>
  <c r="W10" i="1"/>
  <c r="X10" i="1" s="1" a="1"/>
  <c r="X10" i="1" s="1"/>
  <c r="W11" i="1"/>
  <c r="X11" i="1" s="1" a="1"/>
  <c r="X11" i="1" s="1"/>
  <c r="W38" i="1"/>
  <c r="W62" i="1"/>
  <c r="W63" i="1"/>
  <c r="W64" i="1"/>
  <c r="W65" i="1"/>
  <c r="W66" i="1"/>
  <c r="T37" i="1"/>
  <c r="W37" i="1" s="1"/>
  <c r="V77" i="1"/>
  <c r="V19" i="1"/>
  <c r="V20" i="1"/>
  <c r="V21" i="1"/>
  <c r="V22" i="1"/>
  <c r="V23" i="1"/>
  <c r="U102" i="1"/>
  <c r="V100" i="1"/>
  <c r="U100" i="1"/>
  <c r="V99" i="1"/>
  <c r="U99" i="1"/>
  <c r="V98" i="1"/>
  <c r="U98" i="1"/>
  <c r="V97" i="1"/>
  <c r="U97" i="1"/>
  <c r="V96" i="1"/>
  <c r="U96" i="1"/>
  <c r="V95" i="1"/>
  <c r="U95" i="1"/>
  <c r="V94" i="1"/>
  <c r="U94" i="1"/>
  <c r="U93" i="1"/>
  <c r="V92" i="1"/>
  <c r="U92" i="1"/>
  <c r="V91" i="1"/>
  <c r="U91" i="1"/>
  <c r="V89" i="1"/>
  <c r="U89" i="1"/>
  <c r="V88" i="1"/>
  <c r="U88" i="1"/>
  <c r="U87" i="1"/>
  <c r="T87" i="1" s="1"/>
  <c r="W87" i="1" s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U79" i="1"/>
  <c r="V79" i="1"/>
  <c r="U55" i="1"/>
  <c r="O132" i="1"/>
  <c r="V132" i="1" s="1"/>
  <c r="O131" i="1"/>
  <c r="U131" i="1" s="1"/>
  <c r="V127" i="1"/>
  <c r="U127" i="1"/>
  <c r="V129" i="1"/>
  <c r="T129" i="1" s="1"/>
  <c r="W129" i="1" s="1"/>
  <c r="V130" i="1"/>
  <c r="T130" i="1" s="1"/>
  <c r="W130" i="1" s="1"/>
  <c r="U128" i="1"/>
  <c r="T128" i="1" s="1"/>
  <c r="W128" i="1" s="1"/>
  <c r="V122" i="1"/>
  <c r="T122" i="1" s="1"/>
  <c r="W122" i="1" s="1"/>
  <c r="V123" i="1"/>
  <c r="T123" i="1" s="1"/>
  <c r="V126" i="1"/>
  <c r="U126" i="1"/>
  <c r="V125" i="1"/>
  <c r="U125" i="1"/>
  <c r="U124" i="1"/>
  <c r="T124" i="1" s="1"/>
  <c r="W124" i="1" s="1"/>
  <c r="T105" i="1"/>
  <c r="W105" i="1" s="1"/>
  <c r="T110" i="1"/>
  <c r="W110" i="1" s="1"/>
  <c r="U2" i="1"/>
  <c r="T2" i="1" s="1"/>
  <c r="W2" i="1" s="1"/>
  <c r="U61" i="1"/>
  <c r="T61" i="1" s="1"/>
  <c r="W61" i="1" s="1"/>
  <c r="X61" i="1" s="1" a="1"/>
  <c r="X61" i="1" s="1"/>
  <c r="U60" i="1"/>
  <c r="T60" i="1" s="1"/>
  <c r="U59" i="1"/>
  <c r="T59" i="1" s="1"/>
  <c r="U58" i="1"/>
  <c r="T58" i="1" s="1"/>
  <c r="U57" i="1"/>
  <c r="T57" i="1" s="1"/>
  <c r="U56" i="1"/>
  <c r="T56" i="1" s="1"/>
  <c r="W56" i="1" s="1"/>
  <c r="X56" i="1" s="1" a="1"/>
  <c r="X56" i="1" s="1"/>
  <c r="U70" i="1"/>
  <c r="V109" i="1"/>
  <c r="T109" i="1" s="1"/>
  <c r="V108" i="1"/>
  <c r="T108" i="1" s="1"/>
  <c r="V107" i="1"/>
  <c r="T107" i="1" s="1"/>
  <c r="U106" i="1"/>
  <c r="T106" i="1" s="1"/>
  <c r="W106" i="1" s="1"/>
  <c r="V104" i="1"/>
  <c r="U23" i="1"/>
  <c r="U22" i="1"/>
  <c r="U21" i="1"/>
  <c r="U20" i="1"/>
  <c r="U19" i="1"/>
  <c r="V18" i="1"/>
  <c r="V17" i="1"/>
  <c r="U17" i="1"/>
  <c r="V16" i="1"/>
  <c r="U16" i="1"/>
  <c r="V15" i="1"/>
  <c r="U15" i="1"/>
  <c r="V14" i="1"/>
  <c r="V13" i="1"/>
  <c r="U6" i="1"/>
  <c r="T6" i="1" s="1"/>
  <c r="U5" i="1"/>
  <c r="T5" i="1" s="1"/>
  <c r="U4" i="1"/>
  <c r="T4" i="1" s="1"/>
  <c r="U3" i="1"/>
  <c r="T3" i="1" s="1"/>
  <c r="V78" i="1"/>
  <c r="U78" i="1"/>
  <c r="U77" i="1"/>
  <c r="V69" i="1"/>
  <c r="U69" i="1"/>
  <c r="V76" i="1"/>
  <c r="U76" i="1"/>
  <c r="U67" i="1"/>
  <c r="V75" i="1"/>
  <c r="V74" i="1"/>
  <c r="U74" i="1"/>
  <c r="V73" i="1"/>
  <c r="U73" i="1"/>
  <c r="V72" i="1"/>
  <c r="U72" i="1"/>
  <c r="V71" i="1"/>
  <c r="U71" i="1"/>
  <c r="X2" i="1" l="1" a="1"/>
  <c r="X2" i="1" s="1"/>
  <c r="T97" i="1"/>
  <c r="W109" i="1"/>
  <c r="W108" i="1"/>
  <c r="W90" i="1"/>
  <c r="X90" i="1" s="1" a="1"/>
  <c r="X90" i="1" s="1"/>
  <c r="W107" i="1"/>
  <c r="W123" i="1"/>
  <c r="W60" i="1"/>
  <c r="X60" i="1" s="1" a="1"/>
  <c r="X60" i="1" s="1"/>
  <c r="W6" i="1"/>
  <c r="X6" i="1" s="1" a="1"/>
  <c r="X6" i="1" s="1"/>
  <c r="W59" i="1"/>
  <c r="X59" i="1" s="1" a="1"/>
  <c r="X59" i="1" s="1"/>
  <c r="W5" i="1"/>
  <c r="X5" i="1" s="1" a="1"/>
  <c r="X5" i="1" s="1"/>
  <c r="W58" i="1"/>
  <c r="X58" i="1" s="1" a="1"/>
  <c r="X58" i="1" s="1"/>
  <c r="W4" i="1"/>
  <c r="X4" i="1" s="1" a="1"/>
  <c r="X4" i="1" s="1"/>
  <c r="W57" i="1"/>
  <c r="X57" i="1" s="1" a="1"/>
  <c r="X57" i="1" s="1"/>
  <c r="W3" i="1"/>
  <c r="T15" i="1"/>
  <c r="T23" i="1"/>
  <c r="T20" i="1"/>
  <c r="T127" i="1"/>
  <c r="T21" i="1"/>
  <c r="T22" i="1"/>
  <c r="T16" i="1"/>
  <c r="T95" i="1"/>
  <c r="T101" i="1"/>
  <c r="T19" i="1"/>
  <c r="T17" i="1"/>
  <c r="T96" i="1"/>
  <c r="T99" i="1"/>
  <c r="T102" i="1"/>
  <c r="T100" i="1"/>
  <c r="T92" i="1"/>
  <c r="T98" i="1"/>
  <c r="T81" i="1"/>
  <c r="T93" i="1"/>
  <c r="T94" i="1"/>
  <c r="T89" i="1"/>
  <c r="T91" i="1"/>
  <c r="T80" i="1"/>
  <c r="T88" i="1"/>
  <c r="T86" i="1"/>
  <c r="T84" i="1"/>
  <c r="T85" i="1"/>
  <c r="T83" i="1"/>
  <c r="T79" i="1"/>
  <c r="T82" i="1"/>
  <c r="V131" i="1"/>
  <c r="T131" i="1" s="1"/>
  <c r="U132" i="1"/>
  <c r="T132" i="1" s="1"/>
  <c r="T125" i="1"/>
  <c r="T104" i="1"/>
  <c r="T126" i="1"/>
  <c r="T74" i="1"/>
  <c r="T78" i="1"/>
  <c r="T77" i="1"/>
  <c r="T76" i="1"/>
  <c r="T69" i="1"/>
  <c r="T71" i="1"/>
  <c r="T73" i="1"/>
  <c r="T72" i="1"/>
  <c r="T75" i="1"/>
  <c r="V67" i="1"/>
  <c r="T67" i="1" s="1"/>
  <c r="V70" i="1"/>
  <c r="V68" i="1"/>
  <c r="U68" i="1"/>
  <c r="U27" i="1"/>
  <c r="V62" i="1"/>
  <c r="V30" i="1"/>
  <c r="V29" i="1"/>
  <c r="U29" i="1"/>
  <c r="V28" i="1"/>
  <c r="U28" i="1"/>
  <c r="V27" i="1"/>
  <c r="V26" i="1"/>
  <c r="U26" i="1"/>
  <c r="V24" i="1"/>
  <c r="U24" i="1"/>
  <c r="V25" i="1"/>
  <c r="U25" i="1"/>
  <c r="V54" i="1"/>
  <c r="T54" i="1" s="1"/>
  <c r="V53" i="1"/>
  <c r="T53" i="1" s="1"/>
  <c r="V52" i="1"/>
  <c r="U52" i="1"/>
  <c r="V51" i="1"/>
  <c r="U51" i="1"/>
  <c r="V50" i="1"/>
  <c r="U50" i="1"/>
  <c r="T50" i="1" s="1"/>
  <c r="V49" i="1"/>
  <c r="U49" i="1"/>
  <c r="V48" i="1"/>
  <c r="T48" i="1" s="1"/>
  <c r="V46" i="1"/>
  <c r="T46" i="1" s="1"/>
  <c r="V47" i="1"/>
  <c r="T47" i="1" s="1"/>
  <c r="U39" i="1"/>
  <c r="V45" i="1"/>
  <c r="U45" i="1"/>
  <c r="V44" i="1"/>
  <c r="U44" i="1"/>
  <c r="V43" i="1"/>
  <c r="T43" i="1" s="1"/>
  <c r="V42" i="1"/>
  <c r="U42" i="1"/>
  <c r="V41" i="1"/>
  <c r="T55" i="1" s="1"/>
  <c r="U41" i="1"/>
  <c r="V40" i="1"/>
  <c r="T40" i="1" s="1"/>
  <c r="V39" i="1"/>
  <c r="U12" i="1"/>
  <c r="T12" i="1" s="1"/>
  <c r="U18" i="1"/>
  <c r="T18" i="1" s="1"/>
  <c r="U14" i="1"/>
  <c r="T14" i="1" s="1"/>
  <c r="U13" i="1"/>
  <c r="T13" i="1" s="1"/>
  <c r="T49" i="1" l="1"/>
  <c r="X3" i="1" a="1"/>
  <c r="X3" i="1" s="1"/>
  <c r="W99" i="1"/>
  <c r="W80" i="1"/>
  <c r="X80" i="1" s="1" a="1"/>
  <c r="X80" i="1" s="1"/>
  <c r="W96" i="1"/>
  <c r="X96" i="1" s="1" a="1"/>
  <c r="X96" i="1" s="1"/>
  <c r="W91" i="1"/>
  <c r="W72" i="1"/>
  <c r="W131" i="1"/>
  <c r="W93" i="1"/>
  <c r="W95" i="1"/>
  <c r="W126" i="1"/>
  <c r="W132" i="1"/>
  <c r="W101" i="1"/>
  <c r="W83" i="1"/>
  <c r="W125" i="1"/>
  <c r="W74" i="1"/>
  <c r="W88" i="1"/>
  <c r="W43" i="1"/>
  <c r="W67" i="1"/>
  <c r="W89" i="1"/>
  <c r="W75" i="1"/>
  <c r="W94" i="1"/>
  <c r="W73" i="1"/>
  <c r="W82" i="1"/>
  <c r="W97" i="1"/>
  <c r="W53" i="1"/>
  <c r="W71" i="1"/>
  <c r="W79" i="1"/>
  <c r="W81" i="1"/>
  <c r="W47" i="1"/>
  <c r="W54" i="1"/>
  <c r="W69" i="1"/>
  <c r="W98" i="1"/>
  <c r="W40" i="1"/>
  <c r="W46" i="1"/>
  <c r="W76" i="1"/>
  <c r="W85" i="1"/>
  <c r="W92" i="1"/>
  <c r="W127" i="1"/>
  <c r="W48" i="1"/>
  <c r="W84" i="1"/>
  <c r="W100" i="1"/>
  <c r="W78" i="1"/>
  <c r="W86" i="1"/>
  <c r="W102" i="1"/>
  <c r="W104" i="1"/>
  <c r="W55" i="1"/>
  <c r="W14" i="1"/>
  <c r="X14" i="1" s="1" a="1"/>
  <c r="X14" i="1" s="1"/>
  <c r="W18" i="1"/>
  <c r="X18" i="1" s="1" a="1"/>
  <c r="X18" i="1" s="1"/>
  <c r="W16" i="1"/>
  <c r="X16" i="1" s="1" a="1"/>
  <c r="X16" i="1" s="1"/>
  <c r="W12" i="1"/>
  <c r="W22" i="1"/>
  <c r="X22" i="1" s="1" a="1"/>
  <c r="X22" i="1" s="1"/>
  <c r="W21" i="1"/>
  <c r="X21" i="1" s="1" a="1"/>
  <c r="X21" i="1" s="1"/>
  <c r="W20" i="1"/>
  <c r="X20" i="1" s="1" a="1"/>
  <c r="X20" i="1" s="1"/>
  <c r="W23" i="1"/>
  <c r="X23" i="1" s="1" a="1"/>
  <c r="X23" i="1" s="1"/>
  <c r="W15" i="1"/>
  <c r="X15" i="1" s="1" a="1"/>
  <c r="X15" i="1" s="1"/>
  <c r="W17" i="1"/>
  <c r="X17" i="1" s="1" a="1"/>
  <c r="X17" i="1" s="1"/>
  <c r="W19" i="1"/>
  <c r="X19" i="1" s="1" a="1"/>
  <c r="X19" i="1" s="1"/>
  <c r="W13" i="1"/>
  <c r="X13" i="1" s="1" a="1"/>
  <c r="X13" i="1" s="1"/>
  <c r="T24" i="1"/>
  <c r="T29" i="1"/>
  <c r="T30" i="1"/>
  <c r="T28" i="1"/>
  <c r="T26" i="1"/>
  <c r="T27" i="1"/>
  <c r="T25" i="1"/>
  <c r="T42" i="1"/>
  <c r="T45" i="1"/>
  <c r="T52" i="1"/>
  <c r="T44" i="1"/>
  <c r="T51" i="1"/>
  <c r="T39" i="1"/>
  <c r="T41" i="1"/>
  <c r="T70" i="1"/>
  <c r="T68" i="1"/>
  <c r="X12" i="1" l="1" a="1"/>
  <c r="X12" i="1" s="1"/>
  <c r="W45" i="1"/>
  <c r="W42" i="1"/>
  <c r="W44" i="1"/>
  <c r="W39" i="1"/>
  <c r="W24" i="1"/>
  <c r="W51" i="1"/>
  <c r="W25" i="1"/>
  <c r="W70" i="1"/>
  <c r="W52" i="1"/>
  <c r="W68" i="1"/>
  <c r="W27" i="1"/>
  <c r="W26" i="1"/>
  <c r="W41" i="1"/>
  <c r="W28" i="1"/>
  <c r="W50" i="1"/>
  <c r="W30" i="1"/>
  <c r="W49" i="1"/>
  <c r="W29" i="1"/>
  <c r="X63" i="1" l="1" a="1"/>
  <c r="X63" i="1" s="1"/>
  <c r="X38" i="1" a="1"/>
  <c r="X38" i="1" s="1"/>
  <c r="X104" i="1" a="1"/>
  <c r="X104" i="1" s="1"/>
  <c r="X66" i="1" a="1"/>
  <c r="X66" i="1" s="1"/>
  <c r="X64" i="1" a="1"/>
  <c r="X64" i="1" s="1"/>
  <c r="X65" i="1" a="1"/>
  <c r="X65" i="1" s="1"/>
  <c r="X62" i="1" a="1"/>
  <c r="X62" i="1" s="1"/>
  <c r="X24" i="1" a="1"/>
  <c r="X24" i="1" s="1"/>
  <c r="X35" i="1" a="1"/>
  <c r="X35" i="1" s="1"/>
  <c r="X36" i="1" a="1"/>
  <c r="X36" i="1" s="1"/>
  <c r="X37" i="1" a="1"/>
  <c r="X37" i="1" s="1"/>
  <c r="X34" i="1" a="1"/>
  <c r="X34" i="1" s="1"/>
  <c r="X33" i="1" a="1"/>
  <c r="X33" i="1" s="1"/>
  <c r="X31" i="1" a="1"/>
  <c r="X31" i="1" s="1"/>
  <c r="X32" i="1" a="1"/>
  <c r="X32" i="1" s="1"/>
  <c r="X120" i="1" a="1"/>
  <c r="X120" i="1" s="1"/>
  <c r="X121" i="1" a="1"/>
  <c r="X121" i="1" s="1"/>
  <c r="X119" i="1" a="1"/>
  <c r="X119" i="1" s="1"/>
  <c r="X103" i="1" a="1"/>
  <c r="X103" i="1" s="1"/>
  <c r="X118" i="1" a="1"/>
  <c r="X118" i="1" s="1"/>
  <c r="X117" i="1" a="1"/>
  <c r="X117" i="1" s="1"/>
  <c r="X115" i="1" a="1"/>
  <c r="X115" i="1" s="1"/>
  <c r="X116" i="1" a="1"/>
  <c r="X116" i="1" s="1"/>
  <c r="X114" i="1" a="1"/>
  <c r="X114" i="1" s="1"/>
  <c r="X112" i="1" a="1"/>
  <c r="X112" i="1" s="1"/>
  <c r="X113" i="1" a="1"/>
  <c r="X113" i="1" s="1"/>
  <c r="X111" i="1" a="1"/>
  <c r="X111" i="1" s="1"/>
  <c r="X86" i="1" a="1"/>
  <c r="X86" i="1" s="1"/>
  <c r="X88" i="1" a="1"/>
  <c r="X88" i="1" s="1"/>
  <c r="X77" i="1" a="1"/>
  <c r="X77" i="1" s="1"/>
  <c r="X83" i="1" a="1"/>
  <c r="X83" i="1" s="1"/>
  <c r="X75" i="1" a="1"/>
  <c r="X75" i="1" s="1"/>
  <c r="X92" i="1" a="1"/>
  <c r="X92" i="1" s="1"/>
  <c r="X89" i="1" a="1"/>
  <c r="X89" i="1" s="1"/>
  <c r="X81" i="1" a="1"/>
  <c r="X81" i="1" s="1"/>
  <c r="X82" i="1" a="1"/>
  <c r="X82" i="1" s="1"/>
  <c r="X99" i="1" a="1"/>
  <c r="X99" i="1" s="1"/>
  <c r="X72" i="1" a="1"/>
  <c r="X72" i="1" s="1"/>
  <c r="X70" i="1" a="1"/>
  <c r="X70" i="1" s="1"/>
  <c r="X101" i="1" a="1"/>
  <c r="X101" i="1" s="1"/>
  <c r="X71" i="1" a="1"/>
  <c r="X71" i="1" s="1"/>
  <c r="X67" i="1" a="1"/>
  <c r="X67" i="1" s="1"/>
  <c r="X93" i="1" a="1"/>
  <c r="X93" i="1" s="1"/>
  <c r="X85" i="1" a="1"/>
  <c r="X85" i="1" s="1"/>
  <c r="X74" i="1" a="1"/>
  <c r="X74" i="1" s="1"/>
  <c r="X45" i="1" a="1"/>
  <c r="X45" i="1" s="1"/>
  <c r="X91" i="1" a="1"/>
  <c r="X91" i="1" s="1"/>
  <c r="X79" i="1" a="1"/>
  <c r="X79" i="1" s="1"/>
  <c r="X69" i="1" a="1"/>
  <c r="X69" i="1" s="1"/>
  <c r="X68" i="1" a="1"/>
  <c r="X68" i="1" s="1"/>
  <c r="X100" i="1" a="1"/>
  <c r="X100" i="1" s="1"/>
  <c r="X84" i="1" a="1"/>
  <c r="X84" i="1" s="1"/>
  <c r="X78" i="1" a="1"/>
  <c r="X78" i="1" s="1"/>
  <c r="X94" i="1" a="1"/>
  <c r="X94" i="1" s="1"/>
  <c r="X97" i="1" a="1"/>
  <c r="X97" i="1" s="1"/>
  <c r="X95" i="1" a="1"/>
  <c r="X95" i="1" s="1"/>
  <c r="X98" i="1" a="1"/>
  <c r="X98" i="1" s="1"/>
  <c r="X102" i="1" a="1"/>
  <c r="X102" i="1" s="1"/>
  <c r="X28" i="1" a="1"/>
  <c r="X28" i="1" s="1"/>
  <c r="X73" i="1" a="1"/>
  <c r="X73" i="1" s="1"/>
  <c r="X76" i="1" a="1"/>
  <c r="X76" i="1" s="1"/>
  <c r="X87" i="1" a="1"/>
  <c r="X87" i="1" s="1"/>
  <c r="X55" i="1" a="1"/>
  <c r="X55" i="1" s="1"/>
  <c r="X109" i="1" a="1"/>
  <c r="X109" i="1" s="1"/>
  <c r="X132" i="1" a="1"/>
  <c r="X132" i="1" s="1"/>
  <c r="X110" i="1" a="1"/>
  <c r="X110" i="1" s="1"/>
  <c r="X44" i="1" a="1"/>
  <c r="X44" i="1" s="1"/>
  <c r="X26" i="1" a="1"/>
  <c r="X26" i="1" s="1"/>
  <c r="X127" i="1" a="1"/>
  <c r="X127" i="1" s="1"/>
  <c r="X43" i="1" a="1"/>
  <c r="X43" i="1" s="1"/>
  <c r="X128" i="1" a="1"/>
  <c r="X128" i="1" s="1"/>
  <c r="X41" i="1" a="1"/>
  <c r="X41" i="1" s="1"/>
  <c r="X46" i="1" a="1"/>
  <c r="X46" i="1" s="1"/>
  <c r="X131" i="1" a="1"/>
  <c r="X131" i="1" s="1"/>
  <c r="X107" i="1" a="1"/>
  <c r="X107" i="1" s="1"/>
  <c r="X129" i="1" a="1"/>
  <c r="X129" i="1" s="1"/>
  <c r="X53" i="1" a="1"/>
  <c r="X53" i="1" s="1"/>
  <c r="X27" i="1" a="1"/>
  <c r="X27" i="1" s="1"/>
  <c r="X105" i="1" a="1"/>
  <c r="X105" i="1" s="1"/>
  <c r="X25" i="1" a="1"/>
  <c r="X25" i="1" s="1"/>
  <c r="X54" i="1" a="1"/>
  <c r="X54" i="1" s="1"/>
  <c r="X49" i="1" a="1"/>
  <c r="X49" i="1" s="1"/>
  <c r="X47" i="1" a="1"/>
  <c r="X47" i="1" s="1"/>
  <c r="X42" i="1" a="1"/>
  <c r="X42" i="1" s="1"/>
  <c r="X29" i="1" a="1"/>
  <c r="X29" i="1" s="1"/>
  <c r="X52" i="1" a="1"/>
  <c r="X52" i="1" s="1"/>
  <c r="X130" i="1" a="1"/>
  <c r="X130" i="1" s="1"/>
  <c r="X126" i="1" a="1"/>
  <c r="X126" i="1" s="1"/>
  <c r="X122" i="1" a="1"/>
  <c r="X122" i="1" s="1"/>
  <c r="X50" i="1" a="1"/>
  <c r="X50" i="1" s="1"/>
  <c r="X39" i="1" a="1"/>
  <c r="X39" i="1" s="1"/>
  <c r="X124" i="1" a="1"/>
  <c r="X124" i="1" s="1"/>
  <c r="X51" i="1" a="1"/>
  <c r="X51" i="1" s="1"/>
  <c r="X125" i="1" a="1"/>
  <c r="X125" i="1" s="1"/>
  <c r="X106" i="1" a="1"/>
  <c r="X106" i="1" s="1"/>
  <c r="X123" i="1" a="1"/>
  <c r="X123" i="1" s="1"/>
  <c r="X30" i="1" a="1"/>
  <c r="X30" i="1" s="1"/>
  <c r="X48" i="1" a="1"/>
  <c r="X48" i="1" s="1"/>
  <c r="X108" i="1" a="1"/>
  <c r="X108" i="1" s="1"/>
  <c r="X40" i="1" a="1"/>
  <c r="X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<sst xmlns="http://schemas.openxmlformats.org/spreadsheetml/2006/main" count="1880" uniqueCount="513">
  <si>
    <t>B500B</t>
  </si>
  <si>
    <t>GL24h</t>
  </si>
  <si>
    <t>CEM II/B CH-Mix</t>
  </si>
  <si>
    <t>Betonsortenrechner</t>
  </si>
  <si>
    <t>Betonstahl KBOB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</si>
  <si>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</si>
  <si>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</si>
  <si>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</si>
  <si>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</si>
  <si>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</si>
  <si>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</si>
  <si>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</si>
  <si>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</si>
  <si>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</si>
  <si>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</si>
  <si>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</si>
  <si>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</si>
  <si>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</si>
  <si>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</si>
  <si>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</si>
  <si>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</si>
  <si>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</si>
  <si>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</si>
  <si>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</si>
  <si>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</si>
  <si>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</si>
  <si>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</si>
  <si>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</si>
  <si>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</si>
  <si>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</si>
  <si>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</si>
  <si>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</si>
  <si>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</si>
  <si>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</si>
  <si>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</si>
  <si>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</si>
  <si>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</si>
  <si>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</si>
  <si>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</si>
  <si>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</si>
  <si>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</si>
  <si>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</si>
  <si>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</si>
  <si>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</si>
  <si>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</si>
  <si>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</si>
  <si>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</si>
  <si>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</si>
  <si>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</si>
  <si>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</si>
  <si>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</si>
  <si>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</si>
  <si>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</si>
  <si>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</si>
  <si>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D</t>
  </si>
  <si>
    <t>Feralpi Siderurgica SPA</t>
  </si>
  <si>
    <t>I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</si>
  <si>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</si>
  <si>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</si>
  <si>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</si>
  <si>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</si>
  <si>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</si>
  <si>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</si>
  <si>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</si>
  <si>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</si>
  <si>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</si>
  <si>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N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</si>
  <si>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</si>
  <si>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</si>
  <si>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</si>
  <si>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</si>
  <si>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</si>
  <si>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</si>
  <si>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</si>
  <si>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</si>
  <si>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</si>
  <si>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</si>
  <si>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</si>
  <si>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</si>
  <si>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</si>
  <si>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</si>
  <si>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</si>
  <si>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</si>
  <si>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</si>
  <si>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</si>
  <si>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</si>
  <si>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</si>
  <si>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</si>
  <si>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</si>
  <si>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</si>
  <si>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</si>
  <si>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</si>
  <si>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</si>
  <si>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</si>
  <si>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</si>
  <si>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</si>
  <si>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</si>
  <si>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</si>
  <si>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</si>
  <si>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</si>
  <si>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</si>
  <si>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</si>
  <si>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</si>
  <si>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Leimholz</t>
  </si>
  <si>
    <t>BSH</t>
  </si>
  <si>
    <t>EPD-WIG-20240079-IBB1-DE</t>
  </si>
  <si>
    <t>Wiehag Timber Construction GmbH</t>
  </si>
  <si>
    <t>A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</si>
  <si>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</si>
  <si>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</si>
  <si>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</si>
  <si>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</si>
  <si>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</si>
  <si>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</si>
  <si>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</si>
  <si>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</si>
  <si>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</si>
  <si>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</si>
  <si>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</si>
  <si>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</si>
  <si>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</si>
  <si>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</si>
  <si>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Studiengemeinschaft Holzleimbau e.V. und Überwachungsgemeinschaft Konstruktionsvollholz e.V.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</si>
  <si>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</si>
  <si>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</si>
  <si>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</si>
  <si>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</si>
  <si>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</si>
  <si>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</si>
  <si>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</si>
  <si>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</si>
  <si>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</si>
  <si>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</si>
  <si>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</si>
  <si>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</si>
  <si>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</si>
  <si>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</si>
  <si>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</si>
  <si>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</si>
  <si>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</si>
  <si>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</si>
  <si>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L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</si>
  <si>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</si>
  <si>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</si>
  <si>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</si>
  <si>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</si>
  <si>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</si>
  <si>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</si>
  <si>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</si>
  <si>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</si>
  <si>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</si>
  <si>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</si>
  <si>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</si>
  <si>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</si>
  <si>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</si>
  <si>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</si>
  <si>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</si>
  <si>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</si>
  <si>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</si>
  <si>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</si>
  <si>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</si>
  <si>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</si>
  <si>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</si>
  <si>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</si>
  <si>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</si>
  <si>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</si>
  <si>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</si>
  <si>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</si>
  <si>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</si>
  <si>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</si>
  <si>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</si>
  <si>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</si>
  <si>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</si>
  <si>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</si>
  <si>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</si>
  <si>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</si>
  <si>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</si>
  <si>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</si>
  <si>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</si>
  <si>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</si>
  <si>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</si>
  <si>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</si>
  <si>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</si>
  <si>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</si>
  <si>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</si>
  <si>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</si>
  <si>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</si>
  <si>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</si>
  <si>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</si>
  <si>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</si>
  <si>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</si>
  <si>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</si>
  <si>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</si>
  <si>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</si>
  <si>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</si>
  <si>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</si>
  <si>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</si>
  <si>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</si>
  <si>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</si>
  <si>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</si>
  <si>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</si>
  <si>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</si>
  <si>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</si>
  <si>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</si>
  <si>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</si>
  <si>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</si>
  <si>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</si>
  <si>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</si>
  <si>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</si>
  <si>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</si>
  <si>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</si>
  <si>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</si>
  <si>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</si>
  <si>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</si>
  <si>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</si>
  <si>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</si>
  <si>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</si>
  <si>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</si>
  <si>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</si>
  <si>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</si>
  <si>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</si>
  <si>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</si>
  <si>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</si>
  <si>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</si>
  <si>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</si>
  <si>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</si>
  <si>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</si>
  <si>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</si>
  <si>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</si>
  <si>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</si>
  <si>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</si>
  <si>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</si>
  <si>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</si>
  <si>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</si>
  <si>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</si>
  <si>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</si>
  <si>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</si>
  <si>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</si>
  <si>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</si>
  <si>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</si>
  <si>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</si>
  <si>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</si>
  <si>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</si>
  <si>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</si>
  <si>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</si>
  <si>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</si>
  <si>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</si>
  <si>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</si>
  <si>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</si>
  <si>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</si>
  <si>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</si>
  <si>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</si>
  <si>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</si>
  <si>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</si>
  <si>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</si>
  <si>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</si>
  <si>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</si>
  <si>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</si>
  <si>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</si>
  <si>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</si>
  <si>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</si>
  <si>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</si>
  <si>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</si>
  <si>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</si>
  <si>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</si>
  <si>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</si>
  <si>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</si>
  <si>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</si>
  <si>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</si>
  <si>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</si>
  <si>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</si>
  <si>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</si>
  <si>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</si>
  <si>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</si>
  <si>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</si>
  <si>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</si>
  <si>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</si>
  <si>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</si>
  <si>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</si>
  <si>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</si>
  <si>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</si>
  <si>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</si>
  <si>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</si>
  <si>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</si>
  <si>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</si>
  <si>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</si>
  <si>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</si>
  <si>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</si>
  <si>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</si>
  <si>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</si>
  <si>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</si>
  <si>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</si>
  <si>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</si>
  <si>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</si>
  <si>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</si>
  <si>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</si>
  <si>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</si>
  <si>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</si>
  <si>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</si>
  <si>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</si>
  <si>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</si>
  <si>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</si>
  <si>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</si>
  <si>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</si>
  <si>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</si>
  <si>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</si>
  <si>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</si>
  <si>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</si>
  <si>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</si>
  <si>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</si>
  <si>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</si>
  <si>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</si>
  <si>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</si>
  <si>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</si>
  <si>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</si>
  <si>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</si>
  <si>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</si>
  <si>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</si>
  <si>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AT, LT,SE, FI,EST,RU,LV,PO,CZ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</si>
  <si>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</si>
  <si>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</si>
  <si>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</si>
  <si>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</si>
  <si>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</si>
  <si>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</si>
  <si>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</si>
  <si>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</si>
  <si>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</si>
  <si>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</si>
  <si>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</si>
  <si>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</si>
  <si>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</si>
  <si>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</si>
  <si>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</si>
  <si>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</si>
  <si>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</si>
  <si>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</si>
  <si>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</si>
  <si>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</si>
  <si>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</si>
  <si>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</si>
  <si>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</si>
  <si>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</si>
  <si>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</si>
  <si>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</si>
  <si>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</si>
  <si>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</si>
  <si>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</si>
  <si>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</si>
  <si>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</si>
  <si>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</si>
  <si>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</si>
  <si>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</si>
  <si>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</si>
  <si>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</si>
  <si>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</si>
  <si>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</si>
  <si>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</si>
  <si>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</si>
  <si>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</si>
  <si>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</si>
  <si>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</si>
  <si>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</si>
  <si>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</si>
  <si>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</si>
  <si>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</si>
  <si>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</si>
  <si>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</si>
  <si>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</si>
  <si>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</si>
  <si>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</si>
  <si>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</si>
  <si>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</si>
  <si>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</si>
  <si>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</si>
  <si>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</si>
  <si>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</si>
  <si>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</si>
  <si>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</si>
  <si>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Konstruktionsvollholz</t>
  </si>
  <si>
    <t>OEKOBAUDAT_ID</t>
  </si>
  <si>
    <t>MATERIAL_GROUP</t>
  </si>
  <si>
    <t>MATERIAL</t>
  </si>
  <si>
    <t>SOURCE</t>
  </si>
  <si>
    <t>PRODUCT_NAME</t>
  </si>
  <si>
    <t>COUNTRY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</si>
  <si>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</si>
  <si>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</si>
  <si>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</si>
  <si>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</si>
  <si>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</si>
  <si>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</si>
  <si>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</si>
  <si>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</si>
  <si>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</si>
  <si>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</si>
  <si>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</si>
  <si>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</si>
  <si>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</si>
  <si>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</si>
  <si>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</si>
  <si>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</si>
  <si>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</si>
  <si>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</si>
  <si>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</si>
  <si>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</si>
  <si>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</si>
  <si>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</si>
  <si>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</si>
  <si>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</si>
  <si>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</si>
  <si>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</si>
  <si>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</si>
  <si>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</si>
  <si>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</si>
  <si>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</si>
  <si>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</si>
  <si>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</si>
  <si>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</si>
  <si>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</si>
  <si>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</si>
  <si>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</si>
  <si>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</si>
  <si>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</si>
  <si>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</si>
  <si>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</si>
  <si>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</si>
  <si>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</si>
  <si>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</si>
  <si>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</si>
  <si>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</si>
  <si>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</si>
  <si>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</si>
  <si>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</si>
  <si>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</si>
  <si>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</si>
  <si>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</si>
  <si>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</si>
  <si>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</si>
  <si>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</si>
  <si>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</si>
  <si>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</si>
  <si>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</si>
  <si>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</si>
  <si>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</si>
  <si>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</si>
  <si>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</si>
  <si>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</si>
  <si>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</si>
  <si>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</si>
  <si>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</si>
  <si>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</si>
  <si>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</si>
  <si>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</si>
  <si>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</si>
  <si>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</si>
  <si>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</si>
  <si>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</si>
  <si>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</si>
  <si>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Turkey</t>
  </si>
  <si>
    <t>Sanayi</t>
  </si>
  <si>
    <t>BREG EN EPD No. 000079</t>
  </si>
  <si>
    <t>Celsa Barcelona</t>
  </si>
  <si>
    <t>E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</si>
  <si>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</si>
  <si>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</si>
  <si>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</si>
  <si>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</si>
  <si>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</si>
  <si>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</si>
  <si>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</si>
  <si>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</si>
  <si>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</si>
  <si>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</si>
  <si>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</si>
  <si>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</si>
  <si>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</si>
  <si>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</si>
  <si>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</si>
  <si>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</si>
  <si>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KBOB v7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</si>
  <si>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</si>
  <si>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</si>
  <si>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</si>
  <si>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</si>
  <si>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</si>
  <si>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</si>
  <si>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</si>
  <si>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</si>
  <si>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</si>
  <si>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</si>
  <si>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</si>
  <si>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</si>
  <si>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</si>
  <si>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Festigkeit S235, S355, S460</t>
  </si>
  <si>
    <t>100% renewable energy, Festigkeit S235, S355, S460</t>
  </si>
  <si>
    <t>Inkl. Paint. Largest difference between paint and no paint: 23%, Festigkeit S235, S355, S460</t>
  </si>
  <si>
    <t>gültige EPDs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</si>
  <si>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</si>
  <si>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</si>
  <si>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</si>
  <si>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</si>
  <si>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</si>
  <si>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</si>
  <si>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</si>
  <si>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</si>
  <si>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</si>
  <si>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</si>
  <si>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</si>
  <si>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</si>
  <si>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</si>
  <si>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</si>
  <si>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3- and 5-ply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</si>
</sst>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5"/>
      <name val="Aptos"/>
      <family val="2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</borders>
  <cellStyleXfs count="2">
    <xf numFmtId="0" fontId="0" fillId="0" borderId="0"/>
    <xf numFmtId="0" fontId="25" fillId="0" borderId="0"/>
  </cellStyleXfs>
  <cellXfs count="207">
    <xf numFmtId="0" fontId="0" fillId="0" borderId="0" xfId="0"/>
    <xf numFmtId="0" fontId="1" fillId="2" borderId="1" xfId="0" applyFont="1" applyFill="1" applyBorder="1"/>
    <xf numFmtId="0" fontId="3" fillId="0" borderId="2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2" xfId="0" quotePrefix="1" applyFont="1" applyBorder="1"/>
    <xf numFmtId="0" fontId="3" fillId="0" borderId="3" xfId="0" quotePrefix="1" applyFont="1" applyBorder="1"/>
    <xf numFmtId="0" fontId="3" fillId="0" borderId="2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6" fillId="0" borderId="0" xfId="0" applyFont="1"/>
    <xf numFmtId="0" fontId="7" fillId="0" borderId="2" xfId="0" applyFont="1" applyBorder="1"/>
    <xf numFmtId="0" fontId="7" fillId="0" borderId="7" xfId="0" applyFont="1" applyBorder="1"/>
    <xf numFmtId="0" fontId="9" fillId="0" borderId="3" xfId="0" applyFont="1" applyBorder="1"/>
    <xf numFmtId="0" fontId="9" fillId="0" borderId="8" xfId="0" applyFont="1" applyBorder="1"/>
    <xf numFmtId="0" fontId="8" fillId="0" borderId="0" xfId="0" applyFont="1"/>
    <xf numFmtId="0" fontId="9" fillId="0" borderId="2" xfId="0" applyFont="1" applyBorder="1"/>
    <xf numFmtId="0" fontId="9" fillId="0" borderId="7" xfId="0" applyFont="1" applyBorder="1"/>
    <xf numFmtId="0" fontId="9" fillId="0" borderId="9" xfId="0" applyFont="1" applyBorder="1"/>
    <xf numFmtId="0" fontId="7" fillId="0" borderId="2" xfId="0" quotePrefix="1" applyFont="1" applyBorder="1"/>
    <xf numFmtId="0" fontId="9" fillId="0" borderId="2" xfId="0" quotePrefix="1" applyFont="1" applyBorder="1"/>
    <xf numFmtId="0" fontId="3" fillId="0" borderId="0" xfId="0" applyFont="1" applyBorder="1"/>
    <xf numFmtId="1" fontId="7" fillId="0" borderId="7" xfId="0" applyNumberFormat="1" applyFont="1" applyBorder="1" applyAlignment="1">
      <alignment horizontal="right"/>
    </xf>
    <xf numFmtId="1" fontId="3" fillId="0" borderId="8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1" fontId="3" fillId="0" borderId="7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14" fontId="7" fillId="0" borderId="7" xfId="0" applyNumberFormat="1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0" fontId="3" fillId="0" borderId="12" xfId="0" applyFont="1" applyBorder="1"/>
    <xf numFmtId="0" fontId="14" fillId="0" borderId="2" xfId="0" applyFont="1" applyBorder="1"/>
    <xf numFmtId="0" fontId="14" fillId="0" borderId="7" xfId="0" applyFont="1" applyBorder="1"/>
    <xf numFmtId="0" fontId="14" fillId="0" borderId="7" xfId="0" applyFont="1" applyBorder="1" applyAlignment="1">
      <alignment horizontal="left"/>
    </xf>
    <xf numFmtId="0" fontId="15" fillId="0" borderId="0" xfId="0" applyFont="1"/>
    <xf numFmtId="0" fontId="16" fillId="0" borderId="7" xfId="0" applyFont="1" applyBorder="1" applyAlignment="1">
      <alignment horizontal="left"/>
    </xf>
    <xf numFmtId="0" fontId="16" fillId="0" borderId="8" xfId="0" applyFont="1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7" fillId="0" borderId="10" xfId="0" applyFont="1" applyBorder="1"/>
    <xf numFmtId="2" fontId="7" fillId="0" borderId="2" xfId="0" quotePrefix="1" applyNumberFormat="1" applyFont="1" applyBorder="1"/>
    <xf numFmtId="0" fontId="14" fillId="0" borderId="2" xfId="0" quotePrefix="1" applyFont="1" applyBorder="1"/>
    <xf numFmtId="14" fontId="3" fillId="0" borderId="2" xfId="0" quotePrefix="1" applyNumberFormat="1" applyFont="1" applyBorder="1"/>
    <xf numFmtId="1" fontId="7" fillId="0" borderId="2" xfId="0" applyNumberFormat="1" applyFont="1" applyBorder="1" applyAlignment="1">
      <alignment horizontal="right"/>
    </xf>
    <xf numFmtId="49" fontId="0" fillId="0" borderId="0" xfId="0" applyNumberFormat="1" applyBorder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" xfId="0" applyFont="1" applyFill="1" applyBorder="1"/>
    <xf numFmtId="0" fontId="0" fillId="0" borderId="15" xfId="0" applyFont="1" applyFill="1" applyBorder="1"/>
    <xf numFmtId="0" fontId="3" fillId="0" borderId="2" xfId="0" applyFont="1" applyBorder="1" applyAlignment="1">
      <alignment wrapText="1"/>
    </xf>
    <xf numFmtId="1" fontId="14" fillId="0" borderId="2" xfId="0" applyNumberFormat="1" applyFont="1" applyBorder="1" applyAlignment="1">
      <alignment horizontal="right"/>
    </xf>
    <xf numFmtId="0" fontId="3" fillId="0" borderId="0" xfId="0" applyFont="1"/>
    <xf numFmtId="0" fontId="3" fillId="0" borderId="10" xfId="0" applyFont="1" applyBorder="1" applyAlignment="1">
      <alignment wrapText="1"/>
    </xf>
    <xf numFmtId="0" fontId="12" fillId="5" borderId="13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5" borderId="6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2" fillId="5" borderId="13" xfId="0" applyFont="1" applyFill="1" applyBorder="1" applyAlignment="1">
      <alignment horizontal="left" wrapText="1"/>
    </xf>
    <xf numFmtId="0" fontId="10" fillId="0" borderId="0" xfId="0" applyFont="1" applyBorder="1" applyAlignment="1">
      <alignment horizontal="left"/>
    </xf>
    <xf numFmtId="0" fontId="5" fillId="0" borderId="6" xfId="0" applyFont="1" applyBorder="1" applyAlignment="1">
      <alignment horizontal="right" wrapText="1"/>
    </xf>
    <xf numFmtId="0" fontId="7" fillId="0" borderId="7" xfId="0" applyFont="1" applyBorder="1" applyAlignment="1">
      <alignment horizontal="right"/>
    </xf>
    <xf numFmtId="1" fontId="14" fillId="0" borderId="7" xfId="0" applyNumberFormat="1" applyFont="1" applyBorder="1" applyAlignment="1">
      <alignment horizontal="right"/>
    </xf>
    <xf numFmtId="1" fontId="9" fillId="0" borderId="8" xfId="0" applyNumberFormat="1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3" fillId="0" borderId="7" xfId="0" applyNumberFormat="1" applyFont="1" applyBorder="1" applyAlignment="1">
      <alignment horizontal="right"/>
    </xf>
    <xf numFmtId="1" fontId="4" fillId="7" borderId="12" xfId="0" applyNumberFormat="1" applyFont="1" applyFill="1" applyBorder="1" applyAlignment="1">
      <alignment horizontal="right"/>
    </xf>
    <xf numFmtId="0" fontId="3" fillId="0" borderId="8" xfId="0" applyNumberFormat="1" applyFont="1" applyBorder="1" applyAlignment="1">
      <alignment horizontal="right"/>
    </xf>
    <xf numFmtId="0" fontId="7" fillId="0" borderId="7" xfId="0" applyNumberFormat="1" applyFont="1" applyBorder="1" applyAlignment="1">
      <alignment horizontal="right"/>
    </xf>
    <xf numFmtId="0" fontId="9" fillId="0" borderId="7" xfId="0" applyNumberFormat="1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" fontId="3" fillId="0" borderId="0" xfId="0" applyNumberFormat="1" applyFont="1" applyBorder="1" applyAlignment="1">
      <alignment horizontal="right"/>
    </xf>
    <xf numFmtId="0" fontId="3" fillId="0" borderId="2" xfId="0" applyNumberFormat="1" applyFont="1" applyBorder="1" applyAlignment="1">
      <alignment horizontal="right"/>
    </xf>
    <xf numFmtId="1" fontId="3" fillId="0" borderId="12" xfId="0" applyNumberFormat="1" applyFont="1" applyBorder="1" applyAlignment="1">
      <alignment horizontal="right"/>
    </xf>
    <xf numFmtId="0" fontId="3" fillId="0" borderId="3" xfId="0" applyNumberFormat="1" applyFont="1" applyBorder="1" applyAlignment="1">
      <alignment horizontal="right"/>
    </xf>
    <xf numFmtId="1" fontId="3" fillId="4" borderId="0" xfId="0" applyNumberFormat="1" applyFont="1" applyFill="1" applyBorder="1" applyAlignment="1">
      <alignment horizontal="right"/>
    </xf>
    <xf numFmtId="0" fontId="3" fillId="4" borderId="7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7" fillId="0" borderId="10" xfId="0" applyFont="1" applyBorder="1"/>
    <xf numFmtId="1" fontId="10" fillId="0" borderId="2" xfId="0" applyNumberFormat="1" applyFont="1" applyBorder="1" applyAlignment="1">
      <alignment horizontal="right"/>
    </xf>
    <xf numFmtId="0" fontId="14" fillId="0" borderId="10" xfId="0" applyFont="1" applyBorder="1"/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2" fillId="6" borderId="13" xfId="0" applyFont="1" applyFill="1" applyBorder="1" applyAlignment="1">
      <alignment wrapText="1"/>
    </xf>
    <xf numFmtId="14" fontId="9" fillId="0" borderId="3" xfId="0" quotePrefix="1" applyNumberFormat="1" applyFont="1" applyBorder="1"/>
    <xf numFmtId="0" fontId="5" fillId="0" borderId="19" xfId="0" applyFont="1" applyBorder="1" applyAlignment="1">
      <alignment wrapText="1"/>
    </xf>
    <xf numFmtId="0" fontId="7" fillId="0" borderId="20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12" fillId="5" borderId="22" xfId="0" applyNumberFormat="1" applyFont="1" applyFill="1" applyBorder="1" applyAlignment="1">
      <alignment wrapText="1"/>
    </xf>
    <xf numFmtId="49" fontId="7" fillId="0" borderId="20" xfId="0" applyNumberFormat="1" applyFont="1" applyBorder="1"/>
    <xf numFmtId="49" fontId="14" fillId="0" borderId="20" xfId="0" applyNumberFormat="1" applyFont="1" applyBorder="1"/>
    <xf numFmtId="49" fontId="3" fillId="0" borderId="20" xfId="0" applyNumberFormat="1" applyFont="1" applyBorder="1"/>
    <xf numFmtId="49" fontId="3" fillId="0" borderId="21" xfId="0" applyNumberFormat="1" applyFont="1" applyBorder="1"/>
    <xf numFmtId="49" fontId="9" fillId="0" borderId="20" xfId="0" applyNumberFormat="1" applyFont="1" applyBorder="1"/>
    <xf numFmtId="49" fontId="13" fillId="0" borderId="20" xfId="0" applyNumberFormat="1" applyFont="1" applyBorder="1"/>
    <xf numFmtId="49" fontId="13" fillId="0" borderId="21" xfId="0" applyNumberFormat="1" applyFont="1" applyBorder="1"/>
    <xf numFmtId="0" fontId="5" fillId="5" borderId="5" xfId="0" applyFont="1" applyFill="1" applyBorder="1" applyAlignment="1">
      <alignment horizontal="right" wrapText="1"/>
    </xf>
    <xf numFmtId="1" fontId="9" fillId="0" borderId="3" xfId="0" applyNumberFormat="1" applyFont="1" applyBorder="1" applyAlignment="1">
      <alignment horizontal="right"/>
    </xf>
    <xf numFmtId="1" fontId="9" fillId="0" borderId="4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9" fillId="0" borderId="2" xfId="0" applyFont="1" applyFill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1" fontId="9" fillId="0" borderId="2" xfId="0" applyNumberFormat="1" applyFont="1" applyBorder="1" applyAlignment="1">
      <alignment horizontal="right"/>
    </xf>
    <xf numFmtId="0" fontId="7" fillId="0" borderId="20" xfId="0" applyFont="1" applyBorder="1"/>
    <xf numFmtId="0" fontId="14" fillId="0" borderId="20" xfId="0" applyFont="1" applyBorder="1"/>
    <xf numFmtId="0" fontId="3" fillId="0" borderId="20" xfId="0" applyFont="1" applyBorder="1"/>
    <xf numFmtId="0" fontId="9" fillId="0" borderId="21" xfId="0" applyFont="1" applyBorder="1"/>
    <xf numFmtId="0" fontId="9" fillId="0" borderId="23" xfId="0" applyFont="1" applyBorder="1"/>
    <xf numFmtId="0" fontId="3" fillId="0" borderId="21" xfId="0" applyFont="1" applyBorder="1"/>
    <xf numFmtId="0" fontId="9" fillId="0" borderId="20" xfId="0" applyFont="1" applyBorder="1"/>
    <xf numFmtId="0" fontId="5" fillId="0" borderId="5" xfId="0" applyFont="1" applyBorder="1" applyAlignment="1">
      <alignment horizontal="right" wrapText="1"/>
    </xf>
    <xf numFmtId="1" fontId="10" fillId="0" borderId="3" xfId="0" applyNumberFormat="1" applyFont="1" applyBorder="1" applyAlignment="1">
      <alignment horizontal="right"/>
    </xf>
    <xf numFmtId="1" fontId="7" fillId="0" borderId="3" xfId="0" applyNumberFormat="1" applyFont="1" applyBorder="1" applyAlignment="1">
      <alignment horizontal="right"/>
    </xf>
    <xf numFmtId="0" fontId="5" fillId="0" borderId="19" xfId="0" applyFont="1" applyBorder="1" applyAlignment="1">
      <alignment horizontal="right" wrapText="1"/>
    </xf>
    <xf numFmtId="1" fontId="7" fillId="0" borderId="20" xfId="0" applyNumberFormat="1" applyFont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3" fillId="0" borderId="20" xfId="0" applyNumberFormat="1" applyFont="1" applyBorder="1" applyAlignment="1">
      <alignment horizontal="right"/>
    </xf>
    <xf numFmtId="1" fontId="9" fillId="0" borderId="21" xfId="0" applyNumberFormat="1" applyFont="1" applyBorder="1" applyAlignment="1">
      <alignment horizontal="right"/>
    </xf>
    <xf numFmtId="1" fontId="9" fillId="0" borderId="23" xfId="0" applyNumberFormat="1" applyFont="1" applyBorder="1" applyAlignment="1">
      <alignment horizontal="right"/>
    </xf>
    <xf numFmtId="1" fontId="4" fillId="7" borderId="21" xfId="0" applyNumberFormat="1" applyFont="1" applyFill="1" applyBorder="1" applyAlignment="1">
      <alignment horizontal="right"/>
    </xf>
    <xf numFmtId="1" fontId="9" fillId="0" borderId="20" xfId="0" applyNumberFormat="1" applyFont="1" applyBorder="1" applyAlignment="1">
      <alignment horizontal="right"/>
    </xf>
    <xf numFmtId="1" fontId="3" fillId="0" borderId="21" xfId="0" applyNumberFormat="1" applyFont="1" applyBorder="1" applyAlignment="1">
      <alignment horizontal="right"/>
    </xf>
    <xf numFmtId="1" fontId="3" fillId="4" borderId="20" xfId="0" applyNumberFormat="1" applyFont="1" applyFill="1" applyBorder="1" applyAlignment="1">
      <alignment horizontal="right"/>
    </xf>
    <xf numFmtId="1" fontId="7" fillId="0" borderId="17" xfId="0" applyNumberFormat="1" applyFont="1" applyBorder="1" applyAlignment="1">
      <alignment horizontal="right" wrapText="1"/>
    </xf>
    <xf numFmtId="1" fontId="14" fillId="0" borderId="17" xfId="0" applyNumberFormat="1" applyFont="1" applyBorder="1" applyAlignment="1">
      <alignment horizontal="right" wrapText="1"/>
    </xf>
    <xf numFmtId="1" fontId="10" fillId="0" borderId="17" xfId="0" applyNumberFormat="1" applyFont="1" applyBorder="1" applyAlignment="1">
      <alignment horizontal="right" wrapText="1"/>
    </xf>
    <xf numFmtId="1" fontId="10" fillId="0" borderId="21" xfId="0" applyNumberFormat="1" applyFont="1" applyBorder="1" applyAlignment="1">
      <alignment horizontal="right" wrapText="1"/>
    </xf>
    <xf numFmtId="1" fontId="7" fillId="0" borderId="21" xfId="0" applyNumberFormat="1" applyFont="1" applyBorder="1" applyAlignment="1">
      <alignment horizontal="right" wrapText="1"/>
    </xf>
    <xf numFmtId="0" fontId="5" fillId="0" borderId="24" xfId="0" applyFont="1" applyBorder="1" applyAlignment="1">
      <alignment wrapText="1"/>
    </xf>
    <xf numFmtId="0" fontId="20" fillId="8" borderId="25" xfId="0" quotePrefix="1" applyFont="1" applyFill="1" applyBorder="1" applyAlignment="1">
      <alignment horizontal="left" vertical="top" wrapText="1"/>
    </xf>
    <xf numFmtId="0" fontId="7" fillId="0" borderId="25" xfId="0" applyFont="1" applyBorder="1"/>
    <xf numFmtId="0" fontId="14" fillId="0" borderId="25" xfId="0" applyFont="1" applyBorder="1"/>
    <xf numFmtId="0" fontId="3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3" fillId="0" borderId="26" xfId="0" applyFont="1" applyBorder="1"/>
    <xf numFmtId="0" fontId="9" fillId="0" borderId="25" xfId="0" applyFont="1" applyBorder="1"/>
    <xf numFmtId="0" fontId="9" fillId="0" borderId="10" xfId="0" applyFont="1" applyBorder="1"/>
    <xf numFmtId="0" fontId="9" fillId="0" borderId="17" xfId="0" applyFont="1" applyBorder="1" applyAlignment="1">
      <alignment horizontal="left"/>
    </xf>
    <xf numFmtId="1" fontId="9" fillId="0" borderId="17" xfId="0" applyNumberFormat="1" applyFont="1" applyBorder="1" applyAlignment="1">
      <alignment horizontal="right" wrapText="1"/>
    </xf>
    <xf numFmtId="0" fontId="9" fillId="0" borderId="0" xfId="0" applyFont="1"/>
    <xf numFmtId="1" fontId="4" fillId="9" borderId="2" xfId="0" applyNumberFormat="1" applyFont="1" applyFill="1" applyBorder="1" applyAlignment="1">
      <alignment horizontal="right"/>
    </xf>
    <xf numFmtId="1" fontId="3" fillId="9" borderId="7" xfId="0" applyNumberFormat="1" applyFont="1" applyFill="1" applyBorder="1" applyAlignment="1">
      <alignment horizontal="right"/>
    </xf>
    <xf numFmtId="1" fontId="4" fillId="9" borderId="20" xfId="0" applyNumberFormat="1" applyFont="1" applyFill="1" applyBorder="1" applyAlignment="1">
      <alignment horizontal="right"/>
    </xf>
    <xf numFmtId="0" fontId="3" fillId="0" borderId="7" xfId="0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0" fontId="4" fillId="0" borderId="2" xfId="0" applyFont="1" applyFill="1" applyBorder="1"/>
    <xf numFmtId="0" fontId="4" fillId="0" borderId="7" xfId="0" applyFont="1" applyFill="1" applyBorder="1"/>
    <xf numFmtId="0" fontId="4" fillId="0" borderId="7" xfId="0" applyFont="1" applyFill="1" applyBorder="1" applyAlignment="1">
      <alignment horizontal="left"/>
    </xf>
    <xf numFmtId="1" fontId="4" fillId="9" borderId="7" xfId="0" applyNumberFormat="1" applyFont="1" applyFill="1" applyBorder="1" applyAlignment="1">
      <alignment horizontal="right"/>
    </xf>
    <xf numFmtId="1" fontId="7" fillId="0" borderId="18" xfId="0" applyNumberFormat="1" applyFont="1" applyBorder="1" applyAlignment="1">
      <alignment horizontal="right" wrapText="1"/>
    </xf>
    <xf numFmtId="0" fontId="21" fillId="0" borderId="10" xfId="0" applyFont="1" applyBorder="1"/>
    <xf numFmtId="1" fontId="10" fillId="0" borderId="18" xfId="0" applyNumberFormat="1" applyFont="1" applyBorder="1" applyAlignment="1">
      <alignment horizontal="right" wrapText="1"/>
    </xf>
    <xf numFmtId="0" fontId="21" fillId="0" borderId="11" xfId="0" applyFont="1" applyBorder="1"/>
    <xf numFmtId="14" fontId="9" fillId="0" borderId="2" xfId="0" quotePrefix="1" applyNumberFormat="1" applyFont="1" applyBorder="1"/>
    <xf numFmtId="0" fontId="9" fillId="0" borderId="16" xfId="0" applyFont="1" applyBorder="1" applyAlignment="1">
      <alignment horizontal="left"/>
    </xf>
    <xf numFmtId="0" fontId="9" fillId="0" borderId="11" xfId="0" applyFont="1" applyBorder="1"/>
    <xf numFmtId="0" fontId="9" fillId="0" borderId="18" xfId="0" applyFont="1" applyBorder="1" applyAlignment="1">
      <alignment horizontal="left"/>
    </xf>
    <xf numFmtId="49" fontId="9" fillId="0" borderId="21" xfId="0" applyNumberFormat="1" applyFont="1" applyBorder="1"/>
    <xf numFmtId="1" fontId="9" fillId="0" borderId="21" xfId="0" applyNumberFormat="1" applyFont="1" applyBorder="1" applyAlignment="1">
      <alignment horizontal="right" wrapText="1"/>
    </xf>
    <xf numFmtId="0" fontId="14" fillId="0" borderId="16" xfId="0" applyFont="1" applyBorder="1" applyAlignment="1">
      <alignment horizontal="left"/>
    </xf>
    <xf numFmtId="0" fontId="22" fillId="0" borderId="2" xfId="0" applyFont="1" applyBorder="1"/>
    <xf numFmtId="0" fontId="17" fillId="0" borderId="2" xfId="0" applyFont="1" applyBorder="1"/>
    <xf numFmtId="165" fontId="5" fillId="0" borderId="0" xfId="0" applyNumberFormat="1" applyFont="1" applyAlignment="1">
      <alignment wrapText="1"/>
    </xf>
    <xf numFmtId="165" fontId="3" fillId="0" borderId="0" xfId="0" applyNumberFormat="1" applyFont="1"/>
    <xf numFmtId="165" fontId="0" fillId="0" borderId="0" xfId="0" applyNumberFormat="1" applyBorder="1"/>
    <xf numFmtId="0" fontId="23" fillId="0" borderId="7" xfId="0" applyFont="1" applyBorder="1"/>
    <xf numFmtId="165" fontId="22" fillId="0" borderId="0" xfId="0" applyNumberFormat="1" applyFont="1"/>
    <xf numFmtId="0" fontId="22" fillId="0" borderId="0" xfId="0" applyFont="1"/>
    <xf numFmtId="165" fontId="24" fillId="0" borderId="0" xfId="0" applyNumberFormat="1" applyFont="1" applyAlignment="1">
      <alignment wrapText="1"/>
    </xf>
    <xf numFmtId="166" fontId="23" fillId="0" borderId="7" xfId="0" applyNumberFormat="1" applyFont="1" applyBorder="1" applyAlignment="1">
      <alignment horizontal="left"/>
    </xf>
    <xf numFmtId="0" fontId="23" fillId="0" borderId="7" xfId="0" applyFont="1" applyBorder="1" applyAlignment="1">
      <alignment horizontal="left"/>
    </xf>
    <xf numFmtId="0" fontId="23" fillId="0" borderId="8" xfId="0" applyFont="1" applyBorder="1" applyAlignment="1">
      <alignment horizontal="left"/>
    </xf>
    <xf numFmtId="165" fontId="23" fillId="0" borderId="0" xfId="0" applyNumberFormat="1" applyFont="1" applyAlignment="1">
      <alignment horizontal="left"/>
    </xf>
  </cellXfs>
  <cellStyles count="2">
    <cellStyle name="Normal" xfId="0" builtinId="0"/>
    <cellStyle name="Standard 2" xfId="1" xr:uid="{FDCFE4BD-E849-456C-8E2E-B78D9BD993F6}"/>
  </cellStyles>
  <dxfs count="45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alignment horizontal="right" vertical="bottom" textRotation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52</xdr:row>
      <xdr:rowOff>0</xdr:rowOff>
    </xdr:from>
    <xdr:to>
      <xdr:col>2</xdr:col>
      <xdr:colOff>75557</xdr:colOff>
      <xdr:row>52</xdr:row>
      <xdr:rowOff>37463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B888E7D-E08A-43B9-8BA6-45F0C32B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66667" cy="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E7B34-75E3-43BA-8CDD-44A4EFCCEFD5}" name="Table2" displayName="Table2" ref="A1:AA132" totalsRowShown="0" headerRowDxfId="44" dataDxfId="43">
  <autoFilter ref="A1:AA132" xr:uid="{690E7B34-75E3-43BA-8CDD-44A4EFCCEFD5}"/>
  <tableColumns count="27">
    <tableColumn id="9" xr3:uid="{1DBBD25D-72F9-4A81-9CFA-500505E3628D}" name="ID" dataDxfId="42"/>
    <tableColumn id="14" xr3:uid="{6844A52F-C967-44C0-BF5C-160C47AB6E64}" name="PRO_ID" dataDxfId="41"/>
    <tableColumn id="12" xr3:uid="{4EDF1E73-4744-474F-8DFE-7F72FB05613C}" name="EPD_ID" dataDxfId="40"/>
    <tableColumn id="1" xr3:uid="{1CF2E22E-1020-4F35-B31F-6350A15A5DE8}" name="SOURCE" dataDxfId="39"/>
    <tableColumn id="27" xr3:uid="{07F74D5D-9130-4120-B02C-A11234427F46}" name="KBOB ID-Nr." dataDxfId="38"/>
    <tableColumn id="11" xr3:uid="{81FE7F31-5F54-40F9-B99E-827E048F7DB5}" name="EPD_DATE" dataDxfId="37"/>
    <tableColumn id="10" xr3:uid="{54D8BA04-0FEF-4C3B-9B14-59E8F982CD3F}" name="VALID_TO" dataDxfId="36"/>
    <tableColumn id="22" xr3:uid="{3D6FC370-B8A8-40C3-9FC8-791B178DDFDF}" name="COUNTRY" dataDxfId="35"/>
    <tableColumn id="4" xr3:uid="{25C7280F-4E3E-4E39-BDBB-DC06DF090C5B}" name="PRODUCT_NAME" dataDxfId="34"/>
    <tableColumn id="26" xr3:uid="{1053A7DD-B11F-4E75-92EC-BC0F866E90B4}" name="OEKOBAUDAT_ID" dataDxfId="33"/>
    <tableColumn id="25" xr3:uid="{295F99F8-E318-45C9-833E-F0B45A26471A}" name="MATERIAL_GROUP" dataDxfId="32"/>
    <tableColumn id="2" xr3:uid="{1326FCEF-D1EE-4F3A-BB8B-77CB4EC72B0C}" name="MATERIAL" dataDxfId="31"/>
    <tableColumn id="5" xr3:uid="{9B2A7F84-D968-4A00-B61F-23BB0661E7A3}" name="CEMENT" dataDxfId="30"/>
    <tableColumn id="6" xr3:uid="{2F6E5831-6238-4360-9CFD-ED23A193E761}" name="MECH_PROP" dataDxfId="29"/>
    <tableColumn id="13" xr3:uid="{50DAB01C-8AF5-4E0C-9904-54F70B81BC55}" name="DENSITY" dataDxfId="28"/>
    <tableColumn id="18" xr3:uid="{F799A4D4-9543-475F-989E-CFBA47249558}" name="EXPOSITIONSKLASSE" dataDxfId="27"/>
    <tableColumn id="17" xr3:uid="{ECCBC067-991C-4C60-942D-806BCD77B990}" name="GROESSTKORN" dataDxfId="26"/>
    <tableColumn id="16" xr3:uid="{05157B85-D5FB-4844-9B53-D8AB09BCE0D9}" name="CHLORIDGEHALT" dataDxfId="25"/>
    <tableColumn id="15" xr3:uid="{9F53CF50-7148-405A-9295-1F0C3C45645A}" name="KONSISTENZKLASSE" dataDxfId="24"/>
    <tableColumn id="7" xr3:uid="{E23232F6-E86E-4AD2-8257-F30C0D1F7368}" name="Total_GWP" dataDxfId="23"/>
    <tableColumn id="20" xr3:uid="{0A9001B4-3AB4-4C58-B125-0B2AA4DB2681}" name="A1toA3_GWP" dataDxfId="22">
      <calculatedColumnFormula>119+10.9+238</calculatedColumnFormula>
    </tableColumn>
    <tableColumn id="21" xr3:uid="{2799394A-C481-45CE-B194-AAABAB0AED38}" name="C1toC4_GWP" dataDxfId="21">
      <calculatedColumnFormula>51.1+26+2.64+12.6</calculatedColumnFormula>
    </tableColumn>
    <tableColumn id="19" xr3:uid="{70561D70-9D02-4E93-A395-229DA8696DDA}" name="gültige EPDs" dataDxfId="20">
      <calculatedColumnFormula>IF(OR($D2="Ecoinvent",$D2="Betonsortenrechner",$D2="KBOB",$T2&lt;=0),0,1)</calculatedColumnFormula>
    </tableColumn>
    <tableColumn id="3" xr3:uid="{DB90AC0A-8933-4040-BADE-E6EE11AC8BD7}" name="Statistik" dataDxfId="19">
      <calculatedColumnFormula array="1">IF($W2&lt;&gt;0,
IF(AND(
                         T2&gt;=_xlfn.PERCENTILE.INC(_xlfn._xlws.FILTER($T$2:$T$148, ($L$2:$L$148=L2)*($W$2:$W$148=1)),0.1),
                         T2&lt;=_xlfn.PERCENTILE.INC(_xlfn._xlws.FILTER($T$2:$T$148, ($L$2:$L$148=L2)*($W$2:$W$148=1)),0.9)
               ),1,0),
0)</calculatedColumnFormula>
    </tableColumn>
    <tableColumn id="8" xr3:uid="{BBA6C134-63F9-4711-8B25-086098EC2CB0}" name="Cost" dataDxfId="18"/>
    <tableColumn id="24" xr3:uid="{5321A0E1-043C-4E95-A6DA-41830364B2BC}" name="Anmerkung" dataDxfId="17"/>
    <tableColumn id="23" xr3:uid="{61456234-34E8-4222-B2D6-9DDA8E83B081}" name="Spalte 1" dataDxfId="1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I8" totalsRowShown="0" headerRowDxfId="15" dataDxfId="13" headerRowBorderDxfId="14" tableBorderDxfId="12" totalsRowBorderDxfId="11">
  <autoFilter ref="A1:I8" xr:uid="{188FAA96-3B75-4826-B66B-A81D5BCFC670}"/>
  <tableColumns count="9">
    <tableColumn id="1" xr3:uid="{AF3C694B-2C8A-40EE-B8BB-2EC9EB81A87A}" name="mat_ID" dataDxfId="10"/>
    <tableColumn id="2" xr3:uid="{B447FBC2-C455-4332-8F47-150B112A57E0}" name="name" dataDxfId="9"/>
    <tableColumn id="3" xr3:uid="{BAFC6B47-7268-46CC-A881-892C9A1F4334}" name="strength_comp" dataDxfId="8"/>
    <tableColumn id="4" xr3:uid="{6FC4C8EB-7581-4E67-81CE-C724161F0838}" name="strength_tens" dataDxfId="7"/>
    <tableColumn id="5" xr3:uid="{A875970E-61A9-43B5-9361-7616A74C3147}" name="strength_bend" dataDxfId="6"/>
    <tableColumn id="6" xr3:uid="{EF5B3A69-DD70-420A-88FF-4FE8772A2E14}" name="strength_shea" dataDxfId="5"/>
    <tableColumn id="7" xr3:uid="{ED461A80-736C-42BD-81BC-C5C0C80FF34C}" name="E_modulus" dataDxfId="4"/>
    <tableColumn id="8" xr3:uid="{68E47481-7028-4427-B126-2A046FC46737}" name="density_load" dataDxfId="3"/>
    <tableColumn id="9" xr3:uid="{7AB34570-2BD4-417F-B141-70612577C7D6}" name="burn_r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769-F4C0-43FE-B7CF-7C389D172BEA}">
  <dimension ref="A1:AB1048474"/>
  <sheetViews>
    <sheetView showGridLines="0" tabSelected="1" zoomScale="94" zoomScaleNormal="100" workbookViewId="0">
      <selection activeCell="H70" sqref="H70"/>
    </sheetView>
  </sheetViews>
  <sheetFormatPr defaultColWidth="9.1328125" defaultRowHeight="14.25" x14ac:dyDescent="0.45"/>
  <cols>
    <col min="1" max="1" width="6.59765625" style="48" customWidth="1"/>
    <col min="2" max="2" width="5" style="78" customWidth="1"/>
    <col min="3" max="3" width="24" style="45" customWidth="1"/>
    <col min="4" max="4" width="24.265625" style="45" customWidth="1"/>
    <col min="5" max="7" width="10.73046875" style="45" customWidth="1"/>
    <col min="8" max="8" width="10.73046875" style="46" customWidth="1"/>
    <col min="9" max="9" width="60" style="45" bestFit="1" customWidth="1"/>
    <col min="10" max="11" width="10.73046875" style="45" customWidth="1"/>
    <col min="12" max="12" width="35" style="53" customWidth="1"/>
    <col min="13" max="15" width="10.73046875" style="45" customWidth="1"/>
    <col min="16" max="16" width="6.73046875" style="45" customWidth="1"/>
    <col min="17" max="18" width="6.73046875" style="47" customWidth="1"/>
    <col min="19" max="19" width="6.73046875" style="45" customWidth="1"/>
    <col min="20" max="20" width="10.265625" style="97" customWidth="1"/>
    <col min="21" max="24" width="6.73046875" style="97" customWidth="1"/>
    <col min="25" max="25" width="6.73046875" style="45" customWidth="1"/>
    <col min="26" max="26" width="71" style="45" customWidth="1"/>
    <col min="27" max="27" width="23.73046875" style="198" bestFit="1" customWidth="1"/>
    <col min="28" max="29" width="23.73046875" style="45" bestFit="1" customWidth="1"/>
    <col min="30" max="30" width="15.59765625" style="45" bestFit="1" customWidth="1"/>
    <col min="31" max="57" width="23.73046875" style="45" bestFit="1" customWidth="1"/>
    <col min="58" max="58" width="15.59765625" style="45" bestFit="1" customWidth="1"/>
    <col min="59" max="16384" width="9.1328125" style="45"/>
  </cols>
  <sheetData>
    <row r="1" spans="1:28" s="76" customFormat="1" ht="67.5" customHeight="1" x14ac:dyDescent="0.45">
      <c r="A1" s="69" t="s">
        <v>340</v>
      </c>
      <c r="B1" s="77" t="s">
        <v>323</v>
      </c>
      <c r="C1" s="71" t="s">
        <v>127</v>
      </c>
      <c r="D1" s="71" t="s">
        <v>383</v>
      </c>
      <c r="E1" s="196" t="s">
        <v>499</v>
      </c>
      <c r="F1" s="72" t="s">
        <v>387</v>
      </c>
      <c r="G1" s="72" t="s">
        <v>386</v>
      </c>
      <c r="H1" s="73" t="s">
        <v>385</v>
      </c>
      <c r="I1" s="108" t="s">
        <v>384</v>
      </c>
      <c r="J1" s="106" t="s">
        <v>380</v>
      </c>
      <c r="K1" s="70" t="s">
        <v>381</v>
      </c>
      <c r="L1" s="121" t="s">
        <v>382</v>
      </c>
      <c r="M1" s="115" t="s">
        <v>388</v>
      </c>
      <c r="N1" s="74" t="s">
        <v>389</v>
      </c>
      <c r="O1" s="74" t="s">
        <v>390</v>
      </c>
      <c r="P1" s="72" t="s">
        <v>391</v>
      </c>
      <c r="Q1" s="72" t="s">
        <v>392</v>
      </c>
      <c r="R1" s="72" t="s">
        <v>393</v>
      </c>
      <c r="S1" s="108" t="s">
        <v>394</v>
      </c>
      <c r="T1" s="129" t="s">
        <v>130</v>
      </c>
      <c r="U1" s="79" t="s">
        <v>129</v>
      </c>
      <c r="V1" s="146" t="s">
        <v>131</v>
      </c>
      <c r="W1" s="143" t="s">
        <v>497</v>
      </c>
      <c r="X1" s="146" t="s">
        <v>395</v>
      </c>
      <c r="Y1" s="161" t="s">
        <v>128</v>
      </c>
      <c r="Z1" s="115" t="s">
        <v>336</v>
      </c>
      <c r="AA1" s="202" t="s">
        <v>500</v>
      </c>
      <c r="AB1" s="75"/>
    </row>
    <row r="2" spans="1:28" s="11" customFormat="1" x14ac:dyDescent="0.45">
      <c r="A2" s="98" t="s">
        <v>341</v>
      </c>
      <c r="B2" s="101">
        <v>1</v>
      </c>
      <c r="C2" s="12" t="s">
        <v>17</v>
      </c>
      <c r="D2" s="13" t="s">
        <v>11</v>
      </c>
      <c r="E2" s="13"/>
      <c r="F2" s="26" t="s">
        <v>168</v>
      </c>
      <c r="G2" s="26" t="s">
        <v>168</v>
      </c>
      <c r="H2" s="26" t="s">
        <v>53</v>
      </c>
      <c r="I2" s="109"/>
      <c r="J2" s="49" t="s">
        <v>333</v>
      </c>
      <c r="K2" s="12" t="s">
        <v>325</v>
      </c>
      <c r="L2" s="122" t="s">
        <v>326</v>
      </c>
      <c r="M2" s="12" t="s">
        <v>12</v>
      </c>
      <c r="N2" s="26" t="s">
        <v>13</v>
      </c>
      <c r="O2" s="26">
        <v>2400</v>
      </c>
      <c r="P2" s="13" t="s">
        <v>168</v>
      </c>
      <c r="Q2" s="13" t="s">
        <v>168</v>
      </c>
      <c r="R2" s="13" t="s">
        <v>168</v>
      </c>
      <c r="S2" s="136" t="s">
        <v>168</v>
      </c>
      <c r="T2" s="52">
        <f>SUM(Table2[[#This Row],[A1toA3_GWP]:[C1toC4_GWP]])</f>
        <v>104.16666666666667</v>
      </c>
      <c r="U2" s="23">
        <f>250/Table2[[#This Row],[DENSITY]]*1000</f>
        <v>104.16666666666667</v>
      </c>
      <c r="V2" s="147" t="s">
        <v>168</v>
      </c>
      <c r="W2" s="52">
        <f t="shared" ref="W2:W71" si="0">IF(OR($D2="Ecoinvent",$D2="Betonsortenrechner",$D2="KBOB",$T2&lt;=0),0,1)</f>
        <v>0</v>
      </c>
      <c r="X2" s="156" cm="1">
        <f t="array" ref="X2">IF($W2&lt;&gt;0,
IF(AND(
                         T2&gt;=_xlfn.PERCENTILE.INC(_xlfn._xlws.FILTER($T$2:$T$148, ($L$2:$L$148=L2)*($W$2:$W$148=1)),0.1),
                         T2&lt;=_xlfn.PERCENTILE.INC(_xlfn._xlws.FILTER($T$2:$T$148, ($L$2:$L$148=L2)*($W$2:$W$148=1)),0.9)
               ),1,0),
0)</f>
        <v>0</v>
      </c>
      <c r="Y2" s="162"/>
      <c r="Z2" s="12"/>
      <c r="AA2" s="68"/>
      <c r="AB2" s="68"/>
    </row>
    <row r="3" spans="1:28" s="11" customFormat="1" x14ac:dyDescent="0.45">
      <c r="A3" s="98" t="s">
        <v>342</v>
      </c>
      <c r="B3" s="102">
        <v>2</v>
      </c>
      <c r="C3" s="12" t="s">
        <v>18</v>
      </c>
      <c r="D3" s="13" t="s">
        <v>11</v>
      </c>
      <c r="E3" s="13"/>
      <c r="F3" s="26" t="s">
        <v>168</v>
      </c>
      <c r="G3" s="26" t="s">
        <v>168</v>
      </c>
      <c r="H3" s="26" t="s">
        <v>53</v>
      </c>
      <c r="I3" s="109"/>
      <c r="J3" s="49" t="s">
        <v>333</v>
      </c>
      <c r="K3" s="12" t="s">
        <v>325</v>
      </c>
      <c r="L3" s="122" t="s">
        <v>326</v>
      </c>
      <c r="M3" s="12" t="s">
        <v>2</v>
      </c>
      <c r="N3" s="26" t="s">
        <v>13</v>
      </c>
      <c r="O3" s="26">
        <v>2400</v>
      </c>
      <c r="P3" s="13" t="s">
        <v>168</v>
      </c>
      <c r="Q3" s="13" t="s">
        <v>168</v>
      </c>
      <c r="R3" s="13" t="s">
        <v>168</v>
      </c>
      <c r="S3" s="136" t="s">
        <v>168</v>
      </c>
      <c r="T3" s="52">
        <f>SUM(Table2[[#This Row],[A1toA3_GWP]:[C1toC4_GWP]])</f>
        <v>84.583333333333329</v>
      </c>
      <c r="U3" s="23">
        <f>203/Table2[[#This Row],[DENSITY]]*1000</f>
        <v>84.583333333333329</v>
      </c>
      <c r="V3" s="147" t="s">
        <v>168</v>
      </c>
      <c r="W3" s="52">
        <f t="shared" si="0"/>
        <v>0</v>
      </c>
      <c r="X3" s="156" cm="1">
        <f t="array" ref="X3">IF($W3&lt;&gt;0,
IF(AND(
                         T3&gt;=_xlfn.PERCENTILE.INC(_xlfn._xlws.FILTER($T$2:$T$148, ($L$2:$L$148=L3)*($W$2:$W$148=1)),0.1),
                         T3&lt;=_xlfn.PERCENTILE.INC(_xlfn._xlws.FILTER($T$2:$T$148, ($L$2:$L$148=L3)*($W$2:$W$148=1)),0.9)
               ),1,0),
0)</f>
        <v>0</v>
      </c>
      <c r="Y3" s="163"/>
      <c r="Z3" s="12"/>
      <c r="AA3" s="68"/>
      <c r="AB3" s="68"/>
    </row>
    <row r="4" spans="1:28" s="11" customFormat="1" x14ac:dyDescent="0.45">
      <c r="A4" s="98" t="s">
        <v>343</v>
      </c>
      <c r="B4" s="102">
        <v>3</v>
      </c>
      <c r="C4" s="12" t="s">
        <v>19</v>
      </c>
      <c r="D4" s="13" t="s">
        <v>11</v>
      </c>
      <c r="E4" s="13"/>
      <c r="F4" s="26" t="s">
        <v>168</v>
      </c>
      <c r="G4" s="26" t="s">
        <v>168</v>
      </c>
      <c r="H4" s="26" t="s">
        <v>53</v>
      </c>
      <c r="I4" s="109"/>
      <c r="J4" s="49" t="s">
        <v>333</v>
      </c>
      <c r="K4" s="12" t="s">
        <v>325</v>
      </c>
      <c r="L4" s="122" t="s">
        <v>326</v>
      </c>
      <c r="M4" s="12" t="s">
        <v>14</v>
      </c>
      <c r="N4" s="26" t="s">
        <v>8</v>
      </c>
      <c r="O4" s="26">
        <v>2320</v>
      </c>
      <c r="P4" s="13" t="s">
        <v>168</v>
      </c>
      <c r="Q4" s="13" t="s">
        <v>168</v>
      </c>
      <c r="R4" s="13" t="s">
        <v>168</v>
      </c>
      <c r="S4" s="136" t="s">
        <v>168</v>
      </c>
      <c r="T4" s="52">
        <f>SUM(Table2[[#This Row],[A1toA3_GWP]:[C1toC4_GWP]])</f>
        <v>75.431034482758619</v>
      </c>
      <c r="U4" s="23">
        <f>175/Table2[[#This Row],[DENSITY]]*1000</f>
        <v>75.431034482758619</v>
      </c>
      <c r="V4" s="147" t="s">
        <v>168</v>
      </c>
      <c r="W4" s="52">
        <f t="shared" si="0"/>
        <v>0</v>
      </c>
      <c r="X4" s="156" cm="1">
        <f t="array" ref="X4">IF($W4&lt;&gt;0,
IF(AND(
                         T4&gt;=_xlfn.PERCENTILE.INC(_xlfn._xlws.FILTER($T$2:$T$148, ($L$2:$L$148=L4)*($W$2:$W$148=1)),0.1),
                         T4&lt;=_xlfn.PERCENTILE.INC(_xlfn._xlws.FILTER($T$2:$T$148, ($L$2:$L$148=L4)*($W$2:$W$148=1)),0.9)
               ),1,0),
0)</f>
        <v>0</v>
      </c>
      <c r="Y4" s="163"/>
      <c r="Z4" s="12"/>
      <c r="AA4" s="68"/>
      <c r="AB4" s="68"/>
    </row>
    <row r="5" spans="1:28" s="11" customFormat="1" x14ac:dyDescent="0.45">
      <c r="A5" s="98" t="s">
        <v>344</v>
      </c>
      <c r="B5" s="102">
        <v>4</v>
      </c>
      <c r="C5" s="12" t="s">
        <v>20</v>
      </c>
      <c r="D5" s="13" t="s">
        <v>11</v>
      </c>
      <c r="E5" s="13"/>
      <c r="F5" s="26" t="s">
        <v>168</v>
      </c>
      <c r="G5" s="26" t="s">
        <v>168</v>
      </c>
      <c r="H5" s="26" t="s">
        <v>53</v>
      </c>
      <c r="I5" s="109"/>
      <c r="J5" s="49" t="s">
        <v>333</v>
      </c>
      <c r="K5" s="12" t="s">
        <v>325</v>
      </c>
      <c r="L5" s="122" t="s">
        <v>326</v>
      </c>
      <c r="M5" s="12" t="s">
        <v>15</v>
      </c>
      <c r="N5" s="26" t="s">
        <v>13</v>
      </c>
      <c r="O5" s="26">
        <v>2390</v>
      </c>
      <c r="P5" s="13" t="s">
        <v>168</v>
      </c>
      <c r="Q5" s="13" t="s">
        <v>168</v>
      </c>
      <c r="R5" s="13" t="s">
        <v>168</v>
      </c>
      <c r="S5" s="136" t="s">
        <v>168</v>
      </c>
      <c r="T5" s="52">
        <f>SUM(Table2[[#This Row],[A1toA3_GWP]:[C1toC4_GWP]])</f>
        <v>76.987447698744774</v>
      </c>
      <c r="U5" s="23">
        <f>184/Table2[[#This Row],[DENSITY]]*1000</f>
        <v>76.987447698744774</v>
      </c>
      <c r="V5" s="147" t="s">
        <v>168</v>
      </c>
      <c r="W5" s="52">
        <f t="shared" si="0"/>
        <v>0</v>
      </c>
      <c r="X5" s="156" cm="1">
        <f t="array" ref="X5">IF($W5&lt;&gt;0,
IF(AND(
                         T5&gt;=_xlfn.PERCENTILE.INC(_xlfn._xlws.FILTER($T$2:$T$148, ($L$2:$L$148=L5)*($W$2:$W$148=1)),0.1),
                         T5&lt;=_xlfn.PERCENTILE.INC(_xlfn._xlws.FILTER($T$2:$T$148, ($L$2:$L$148=L5)*($W$2:$W$148=1)),0.9)
               ),1,0),
0)</f>
        <v>0</v>
      </c>
      <c r="Y5" s="163"/>
      <c r="Z5" s="12"/>
      <c r="AA5" s="68"/>
      <c r="AB5" s="68"/>
    </row>
    <row r="6" spans="1:28" s="11" customFormat="1" x14ac:dyDescent="0.45">
      <c r="A6" s="98" t="s">
        <v>345</v>
      </c>
      <c r="B6" s="102">
        <v>5</v>
      </c>
      <c r="C6" s="12" t="s">
        <v>21</v>
      </c>
      <c r="D6" s="13" t="s">
        <v>11</v>
      </c>
      <c r="E6" s="13"/>
      <c r="F6" s="26" t="s">
        <v>168</v>
      </c>
      <c r="G6" s="26" t="s">
        <v>168</v>
      </c>
      <c r="H6" s="26" t="s">
        <v>53</v>
      </c>
      <c r="I6" s="109"/>
      <c r="J6" s="49" t="s">
        <v>333</v>
      </c>
      <c r="K6" s="12" t="s">
        <v>325</v>
      </c>
      <c r="L6" s="122" t="s">
        <v>326</v>
      </c>
      <c r="M6" s="12" t="s">
        <v>16</v>
      </c>
      <c r="N6" s="26" t="s">
        <v>29</v>
      </c>
      <c r="O6" s="26">
        <v>2420</v>
      </c>
      <c r="P6" s="13" t="s">
        <v>168</v>
      </c>
      <c r="Q6" s="13" t="s">
        <v>168</v>
      </c>
      <c r="R6" s="13" t="s">
        <v>168</v>
      </c>
      <c r="S6" s="136" t="s">
        <v>168</v>
      </c>
      <c r="T6" s="52">
        <f>SUM(Table2[[#This Row],[A1toA3_GWP]:[C1toC4_GWP]])</f>
        <v>81.404958677685954</v>
      </c>
      <c r="U6" s="23">
        <f>197/Table2[[#This Row],[DENSITY]]*1000</f>
        <v>81.404958677685954</v>
      </c>
      <c r="V6" s="147" t="s">
        <v>168</v>
      </c>
      <c r="W6" s="52">
        <f t="shared" si="0"/>
        <v>0</v>
      </c>
      <c r="X6" s="156" cm="1">
        <f t="array" ref="X6">IF($W6&lt;&gt;0,
IF(AND(
                         T6&gt;=_xlfn.PERCENTILE.INC(_xlfn._xlws.FILTER($T$2:$T$148, ($L$2:$L$148=L6)*($W$2:$W$148=1)),0.1),
                         T6&lt;=_xlfn.PERCENTILE.INC(_xlfn._xlws.FILTER($T$2:$T$148, ($L$2:$L$148=L6)*($W$2:$W$148=1)),0.9)
               ),1,0),
0)</f>
        <v>0</v>
      </c>
      <c r="Y6" s="163"/>
      <c r="Z6" s="12"/>
      <c r="AA6" s="68"/>
      <c r="AB6" s="68"/>
    </row>
    <row r="7" spans="1:28" s="11" customFormat="1" x14ac:dyDescent="0.45">
      <c r="A7" s="98" t="s">
        <v>346</v>
      </c>
      <c r="B7" s="102">
        <v>6</v>
      </c>
      <c r="C7" s="12" t="s">
        <v>22</v>
      </c>
      <c r="D7" s="13" t="s">
        <v>11</v>
      </c>
      <c r="E7" s="13"/>
      <c r="F7" s="26" t="s">
        <v>168</v>
      </c>
      <c r="G7" s="26" t="s">
        <v>168</v>
      </c>
      <c r="H7" s="26" t="s">
        <v>53</v>
      </c>
      <c r="I7" s="109"/>
      <c r="J7" s="49" t="s">
        <v>333</v>
      </c>
      <c r="K7" s="12" t="s">
        <v>325</v>
      </c>
      <c r="L7" s="122" t="s">
        <v>326</v>
      </c>
      <c r="M7" s="12" t="s">
        <v>23</v>
      </c>
      <c r="N7" s="26" t="s">
        <v>8</v>
      </c>
      <c r="O7" s="26"/>
      <c r="P7" s="13" t="s">
        <v>168</v>
      </c>
      <c r="Q7" s="13" t="s">
        <v>168</v>
      </c>
      <c r="R7" s="13" t="s">
        <v>168</v>
      </c>
      <c r="S7" s="136" t="s">
        <v>168</v>
      </c>
      <c r="T7" s="52"/>
      <c r="U7" s="80"/>
      <c r="V7" s="147"/>
      <c r="W7" s="52">
        <f t="shared" si="0"/>
        <v>0</v>
      </c>
      <c r="X7" s="156" cm="1">
        <f t="array" ref="X7">IF($W7&lt;&gt;0,
IF(AND(
                         T7&gt;=_xlfn.PERCENTILE.INC(_xlfn._xlws.FILTER($T$2:$T$148, ($L$2:$L$148=L7)*($W$2:$W$148=1)),0.1),
                         T7&lt;=_xlfn.PERCENTILE.INC(_xlfn._xlws.FILTER($T$2:$T$148, ($L$2:$L$148=L7)*($W$2:$W$148=1)),0.9)
               ),1,0),
0)</f>
        <v>0</v>
      </c>
      <c r="Y7" s="163"/>
      <c r="Z7" s="12"/>
      <c r="AA7" s="68"/>
      <c r="AB7" s="68"/>
    </row>
    <row r="8" spans="1:28" s="11" customFormat="1" x14ac:dyDescent="0.45">
      <c r="A8" s="98" t="s">
        <v>347</v>
      </c>
      <c r="B8" s="102">
        <v>7</v>
      </c>
      <c r="C8" s="12" t="s">
        <v>24</v>
      </c>
      <c r="D8" s="13" t="s">
        <v>11</v>
      </c>
      <c r="E8" s="13"/>
      <c r="F8" s="26" t="s">
        <v>168</v>
      </c>
      <c r="G8" s="26" t="s">
        <v>168</v>
      </c>
      <c r="H8" s="26" t="s">
        <v>53</v>
      </c>
      <c r="I8" s="109"/>
      <c r="J8" s="49" t="s">
        <v>333</v>
      </c>
      <c r="K8" s="12" t="s">
        <v>325</v>
      </c>
      <c r="L8" s="122" t="s">
        <v>326</v>
      </c>
      <c r="M8" s="12" t="s">
        <v>25</v>
      </c>
      <c r="N8" s="26" t="s">
        <v>29</v>
      </c>
      <c r="O8" s="26"/>
      <c r="P8" s="13" t="s">
        <v>168</v>
      </c>
      <c r="Q8" s="13" t="s">
        <v>168</v>
      </c>
      <c r="R8" s="13" t="s">
        <v>168</v>
      </c>
      <c r="S8" s="136" t="s">
        <v>168</v>
      </c>
      <c r="T8" s="52"/>
      <c r="U8" s="80"/>
      <c r="V8" s="147"/>
      <c r="W8" s="52">
        <f t="shared" si="0"/>
        <v>0</v>
      </c>
      <c r="X8" s="156" cm="1">
        <f t="array" ref="X8">IF($W8&lt;&gt;0,
IF(AND(
                         T8&gt;=_xlfn.PERCENTILE.INC(_xlfn._xlws.FILTER($T$2:$T$148, ($L$2:$L$148=L8)*($W$2:$W$148=1)),0.1),
                         T8&lt;=_xlfn.PERCENTILE.INC(_xlfn._xlws.FILTER($T$2:$T$148, ($L$2:$L$148=L8)*($W$2:$W$148=1)),0.9)
               ),1,0),
0)</f>
        <v>0</v>
      </c>
      <c r="Y8" s="163"/>
      <c r="Z8" s="12"/>
      <c r="AA8" s="68"/>
      <c r="AB8" s="68"/>
    </row>
    <row r="9" spans="1:28" s="11" customFormat="1" x14ac:dyDescent="0.45">
      <c r="A9" s="98" t="s">
        <v>348</v>
      </c>
      <c r="B9" s="102">
        <v>8</v>
      </c>
      <c r="C9" s="12" t="s">
        <v>26</v>
      </c>
      <c r="D9" s="13" t="s">
        <v>11</v>
      </c>
      <c r="E9" s="13"/>
      <c r="F9" s="26" t="s">
        <v>168</v>
      </c>
      <c r="G9" s="26" t="s">
        <v>168</v>
      </c>
      <c r="H9" s="26" t="s">
        <v>53</v>
      </c>
      <c r="I9" s="109"/>
      <c r="J9" s="49" t="s">
        <v>333</v>
      </c>
      <c r="K9" s="12" t="s">
        <v>325</v>
      </c>
      <c r="L9" s="122" t="s">
        <v>326</v>
      </c>
      <c r="M9" s="12" t="s">
        <v>14</v>
      </c>
      <c r="N9" s="26" t="s">
        <v>29</v>
      </c>
      <c r="O9" s="26"/>
      <c r="P9" s="13" t="s">
        <v>168</v>
      </c>
      <c r="Q9" s="13" t="s">
        <v>168</v>
      </c>
      <c r="R9" s="13" t="s">
        <v>168</v>
      </c>
      <c r="S9" s="136" t="s">
        <v>168</v>
      </c>
      <c r="T9" s="52"/>
      <c r="U9" s="80"/>
      <c r="V9" s="147"/>
      <c r="W9" s="52">
        <f t="shared" si="0"/>
        <v>0</v>
      </c>
      <c r="X9" s="156" cm="1">
        <f t="array" ref="X9">IF($W9&lt;&gt;0,
IF(AND(
                         T9&gt;=_xlfn.PERCENTILE.INC(_xlfn._xlws.FILTER($T$2:$T$148, ($L$2:$L$148=L9)*($W$2:$W$148=1)),0.1),
                         T9&lt;=_xlfn.PERCENTILE.INC(_xlfn._xlws.FILTER($T$2:$T$148, ($L$2:$L$148=L9)*($W$2:$W$148=1)),0.9)
               ),1,0),
0)</f>
        <v>0</v>
      </c>
      <c r="Y9" s="163"/>
      <c r="Z9" s="12"/>
      <c r="AA9" s="68"/>
      <c r="AB9" s="173"/>
    </row>
    <row r="10" spans="1:28" s="11" customFormat="1" x14ac:dyDescent="0.45">
      <c r="A10" s="98" t="s">
        <v>349</v>
      </c>
      <c r="B10" s="102">
        <v>9</v>
      </c>
      <c r="C10" s="12" t="s">
        <v>27</v>
      </c>
      <c r="D10" s="13" t="s">
        <v>11</v>
      </c>
      <c r="E10" s="13"/>
      <c r="F10" s="26" t="s">
        <v>168</v>
      </c>
      <c r="G10" s="26" t="s">
        <v>168</v>
      </c>
      <c r="H10" s="26" t="s">
        <v>53</v>
      </c>
      <c r="I10" s="109"/>
      <c r="J10" s="49" t="s">
        <v>333</v>
      </c>
      <c r="K10" s="12" t="s">
        <v>325</v>
      </c>
      <c r="L10" s="122" t="s">
        <v>326</v>
      </c>
      <c r="M10" s="12" t="s">
        <v>28</v>
      </c>
      <c r="N10" s="26" t="s">
        <v>29</v>
      </c>
      <c r="O10" s="26"/>
      <c r="P10" s="13" t="s">
        <v>168</v>
      </c>
      <c r="Q10" s="13" t="s">
        <v>168</v>
      </c>
      <c r="R10" s="13" t="s">
        <v>168</v>
      </c>
      <c r="S10" s="136" t="s">
        <v>168</v>
      </c>
      <c r="T10" s="52"/>
      <c r="U10" s="80"/>
      <c r="V10" s="147"/>
      <c r="W10" s="52">
        <f t="shared" si="0"/>
        <v>0</v>
      </c>
      <c r="X10" s="156" cm="1">
        <f t="array" ref="X10">IF($W10&lt;&gt;0,
IF(AND(
                         T10&gt;=_xlfn.PERCENTILE.INC(_xlfn._xlws.FILTER($T$2:$T$148, ($L$2:$L$148=L10)*($W$2:$W$148=1)),0.1),
                         T10&lt;=_xlfn.PERCENTILE.INC(_xlfn._xlws.FILTER($T$2:$T$148, ($L$2:$L$148=L10)*($W$2:$W$148=1)),0.9)
               ),1,0),
0)</f>
        <v>0</v>
      </c>
      <c r="Y10" s="163"/>
      <c r="Z10" s="12"/>
      <c r="AA10" s="68"/>
      <c r="AB10" s="173"/>
    </row>
    <row r="11" spans="1:28" s="11" customFormat="1" x14ac:dyDescent="0.45">
      <c r="A11" s="98" t="s">
        <v>350</v>
      </c>
      <c r="B11" s="102">
        <v>10</v>
      </c>
      <c r="C11" s="12" t="s">
        <v>30</v>
      </c>
      <c r="D11" s="13" t="s">
        <v>11</v>
      </c>
      <c r="E11" s="13"/>
      <c r="F11" s="26" t="s">
        <v>168</v>
      </c>
      <c r="G11" s="26" t="s">
        <v>168</v>
      </c>
      <c r="H11" s="26" t="s">
        <v>53</v>
      </c>
      <c r="I11" s="109"/>
      <c r="J11" s="49" t="s">
        <v>333</v>
      </c>
      <c r="K11" s="12" t="s">
        <v>325</v>
      </c>
      <c r="L11" s="122" t="s">
        <v>326</v>
      </c>
      <c r="M11" s="12" t="s">
        <v>31</v>
      </c>
      <c r="N11" s="26" t="s">
        <v>8</v>
      </c>
      <c r="O11" s="26"/>
      <c r="P11" s="13" t="s">
        <v>168</v>
      </c>
      <c r="Q11" s="13" t="s">
        <v>168</v>
      </c>
      <c r="R11" s="13" t="s">
        <v>168</v>
      </c>
      <c r="S11" s="136" t="s">
        <v>168</v>
      </c>
      <c r="T11" s="52"/>
      <c r="U11" s="80"/>
      <c r="V11" s="147"/>
      <c r="W11" s="52">
        <f t="shared" si="0"/>
        <v>0</v>
      </c>
      <c r="X11" s="156" cm="1">
        <f t="array" ref="X11">IF($W11&lt;&gt;0,
IF(AND(
                         T11&gt;=_xlfn.PERCENTILE.INC(_xlfn._xlws.FILTER($T$2:$T$148, ($L$2:$L$148=L11)*($W$2:$W$148=1)),0.1),
                         T11&lt;=_xlfn.PERCENTILE.INC(_xlfn._xlws.FILTER($T$2:$T$148, ($L$2:$L$148=L11)*($W$2:$W$148=1)),0.9)
               ),1,0),
0)</f>
        <v>0</v>
      </c>
      <c r="Y11" s="163"/>
      <c r="Z11" s="12"/>
      <c r="AA11" s="68"/>
      <c r="AB11" s="173"/>
    </row>
    <row r="12" spans="1:28" s="11" customFormat="1" x14ac:dyDescent="0.45">
      <c r="A12" s="98" t="s">
        <v>351</v>
      </c>
      <c r="B12" s="102">
        <v>11</v>
      </c>
      <c r="C12" s="12" t="s">
        <v>41</v>
      </c>
      <c r="D12" s="13" t="s">
        <v>11</v>
      </c>
      <c r="E12" s="13"/>
      <c r="F12" s="26" t="s">
        <v>168</v>
      </c>
      <c r="G12" s="26" t="s">
        <v>168</v>
      </c>
      <c r="H12" s="26" t="s">
        <v>53</v>
      </c>
      <c r="I12" s="109"/>
      <c r="J12" s="49" t="s">
        <v>333</v>
      </c>
      <c r="K12" s="12" t="s">
        <v>325</v>
      </c>
      <c r="L12" s="122" t="s">
        <v>326</v>
      </c>
      <c r="M12" s="12" t="s">
        <v>16</v>
      </c>
      <c r="N12" s="26" t="s">
        <v>13</v>
      </c>
      <c r="O12" s="26">
        <v>2400</v>
      </c>
      <c r="P12" s="13" t="s">
        <v>168</v>
      </c>
      <c r="Q12" s="13" t="s">
        <v>168</v>
      </c>
      <c r="R12" s="13" t="s">
        <v>168</v>
      </c>
      <c r="S12" s="136" t="s">
        <v>168</v>
      </c>
      <c r="T12" s="52">
        <f>SUM(Table2[[#This Row],[A1toA3_GWP]:[C1toC4_GWP]])</f>
        <v>89.583333333333329</v>
      </c>
      <c r="U12" s="23">
        <f>215/Table2[[#This Row],[DENSITY]]*1000</f>
        <v>89.583333333333329</v>
      </c>
      <c r="V12" s="147" t="s">
        <v>168</v>
      </c>
      <c r="W12" s="52">
        <f t="shared" si="0"/>
        <v>0</v>
      </c>
      <c r="X12" s="156" cm="1">
        <f t="array" ref="X12">IF($W12&lt;&gt;0,
IF(AND(
                         T12&gt;=_xlfn.PERCENTILE.INC(_xlfn._xlws.FILTER($T$2:$T$148, ($L$2:$L$148=L12)*($W$2:$W$148=1)),0.1),
                         T12&lt;=_xlfn.PERCENTILE.INC(_xlfn._xlws.FILTER($T$2:$T$148, ($L$2:$L$148=L12)*($W$2:$W$148=1)),0.9)
               ),1,0),
0)</f>
        <v>0</v>
      </c>
      <c r="Y12" s="163"/>
      <c r="Z12" s="12"/>
      <c r="AA12" s="68"/>
      <c r="AB12" s="173"/>
    </row>
    <row r="13" spans="1:28" s="42" customFormat="1" x14ac:dyDescent="0.45">
      <c r="A13" s="100" t="s">
        <v>352</v>
      </c>
      <c r="B13" s="193">
        <v>12</v>
      </c>
      <c r="C13" s="39" t="s">
        <v>168</v>
      </c>
      <c r="D13" s="40" t="s">
        <v>3</v>
      </c>
      <c r="E13" s="40"/>
      <c r="F13" s="41" t="s">
        <v>168</v>
      </c>
      <c r="G13" s="41" t="s">
        <v>168</v>
      </c>
      <c r="H13" s="41" t="s">
        <v>53</v>
      </c>
      <c r="I13" s="110" t="s">
        <v>32</v>
      </c>
      <c r="J13" s="50" t="s">
        <v>333</v>
      </c>
      <c r="K13" s="39" t="s">
        <v>325</v>
      </c>
      <c r="L13" s="123" t="s">
        <v>326</v>
      </c>
      <c r="M13" s="39" t="s">
        <v>16</v>
      </c>
      <c r="N13" s="41" t="s">
        <v>29</v>
      </c>
      <c r="O13" s="41">
        <v>2241</v>
      </c>
      <c r="P13" s="40" t="s">
        <v>168</v>
      </c>
      <c r="Q13" s="40" t="s">
        <v>168</v>
      </c>
      <c r="R13" s="40" t="s">
        <v>168</v>
      </c>
      <c r="S13" s="137" t="s">
        <v>168</v>
      </c>
      <c r="T13" s="67">
        <f>SUM(Table2[[#This Row],[A1toA3_GWP]:[C1toC4_GWP]])</f>
        <v>102.36501561802767</v>
      </c>
      <c r="U13" s="81">
        <f>201/Table2[[#This Row],[DENSITY]]*1000</f>
        <v>89.692101740294518</v>
      </c>
      <c r="V13" s="148">
        <f>28.4/Table2[[#This Row],[DENSITY]]*1000</f>
        <v>12.672913877733155</v>
      </c>
      <c r="W13" s="67">
        <f t="shared" si="0"/>
        <v>0</v>
      </c>
      <c r="X13" s="157" cm="1">
        <f t="array" ref="X13">IF($W13&lt;&gt;0,
IF(AND(
                         T13&gt;=_xlfn.PERCENTILE.INC(_xlfn._xlws.FILTER($T$2:$T$148, ($L$2:$L$148=L13)*($W$2:$W$148=1)),0.1),
                         T13&lt;=_xlfn.PERCENTILE.INC(_xlfn._xlws.FILTER($T$2:$T$148, ($L$2:$L$148=L13)*($W$2:$W$148=1)),0.9)
               ),1,0),
0)</f>
        <v>0</v>
      </c>
      <c r="Y13" s="164"/>
      <c r="Z13" s="39"/>
      <c r="AA13" s="68"/>
      <c r="AB13" s="173"/>
    </row>
    <row r="14" spans="1:28" s="42" customFormat="1" x14ac:dyDescent="0.45">
      <c r="A14" s="100" t="s">
        <v>353</v>
      </c>
      <c r="B14" s="103">
        <v>13</v>
      </c>
      <c r="C14" s="39" t="s">
        <v>168</v>
      </c>
      <c r="D14" s="40" t="s">
        <v>3</v>
      </c>
      <c r="E14" s="40"/>
      <c r="F14" s="41" t="s">
        <v>168</v>
      </c>
      <c r="G14" s="41" t="s">
        <v>168</v>
      </c>
      <c r="H14" s="41" t="s">
        <v>53</v>
      </c>
      <c r="I14" s="110" t="s">
        <v>32</v>
      </c>
      <c r="J14" s="50" t="s">
        <v>333</v>
      </c>
      <c r="K14" s="39" t="s">
        <v>325</v>
      </c>
      <c r="L14" s="123" t="s">
        <v>326</v>
      </c>
      <c r="M14" s="39" t="s">
        <v>2</v>
      </c>
      <c r="N14" s="41" t="s">
        <v>29</v>
      </c>
      <c r="O14" s="41">
        <v>2241</v>
      </c>
      <c r="P14" s="40" t="s">
        <v>168</v>
      </c>
      <c r="Q14" s="40" t="s">
        <v>168</v>
      </c>
      <c r="R14" s="40" t="s">
        <v>168</v>
      </c>
      <c r="S14" s="137" t="s">
        <v>168</v>
      </c>
      <c r="T14" s="67">
        <f>SUM(Table2[[#This Row],[A1toA3_GWP]:[C1toC4_GWP]])</f>
        <v>100.1338688085676</v>
      </c>
      <c r="U14" s="81">
        <f>196/Table2[[#This Row],[DENSITY]]*1000</f>
        <v>87.460954930834447</v>
      </c>
      <c r="V14" s="148">
        <f>28.4/Table2[[#This Row],[DENSITY]]*1000</f>
        <v>12.672913877733155</v>
      </c>
      <c r="W14" s="67">
        <f t="shared" si="0"/>
        <v>0</v>
      </c>
      <c r="X14" s="157" cm="1">
        <f t="array" ref="X14">IF($W14&lt;&gt;0,
IF(AND(
                         T14&gt;=_xlfn.PERCENTILE.INC(_xlfn._xlws.FILTER($T$2:$T$148, ($L$2:$L$148=L14)*($W$2:$W$148=1)),0.1),
                         T14&lt;=_xlfn.PERCENTILE.INC(_xlfn._xlws.FILTER($T$2:$T$148, ($L$2:$L$148=L14)*($W$2:$W$148=1)),0.9)
               ),1,0),
0)</f>
        <v>0</v>
      </c>
      <c r="Y14" s="164"/>
      <c r="Z14" s="39"/>
      <c r="AA14" s="68"/>
      <c r="AB14" s="173"/>
    </row>
    <row r="15" spans="1:28" s="42" customFormat="1" x14ac:dyDescent="0.45">
      <c r="A15" s="100" t="s">
        <v>354</v>
      </c>
      <c r="B15" s="103">
        <v>14</v>
      </c>
      <c r="C15" s="39" t="s">
        <v>168</v>
      </c>
      <c r="D15" s="40" t="s">
        <v>3</v>
      </c>
      <c r="E15" s="40"/>
      <c r="F15" s="41" t="s">
        <v>168</v>
      </c>
      <c r="G15" s="41" t="s">
        <v>168</v>
      </c>
      <c r="H15" s="41" t="s">
        <v>53</v>
      </c>
      <c r="I15" s="110" t="s">
        <v>38</v>
      </c>
      <c r="J15" s="50" t="s">
        <v>333</v>
      </c>
      <c r="K15" s="39" t="s">
        <v>325</v>
      </c>
      <c r="L15" s="123" t="s">
        <v>326</v>
      </c>
      <c r="M15" s="39" t="s">
        <v>2</v>
      </c>
      <c r="N15" s="41" t="s">
        <v>29</v>
      </c>
      <c r="O15" s="41">
        <v>2242</v>
      </c>
      <c r="P15" s="40" t="s">
        <v>168</v>
      </c>
      <c r="Q15" s="40" t="s">
        <v>168</v>
      </c>
      <c r="R15" s="40" t="s">
        <v>168</v>
      </c>
      <c r="S15" s="137" t="s">
        <v>168</v>
      </c>
      <c r="T15" s="67">
        <f>SUM(Table2[[#This Row],[A1toA3_GWP]:[C1toC4_GWP]])</f>
        <v>100.08920606601248</v>
      </c>
      <c r="U15" s="81">
        <f>196/Table2[[#This Row],[DENSITY]]*1000</f>
        <v>87.421944692239066</v>
      </c>
      <c r="V15" s="148">
        <f>28.4/Table2[[#This Row],[DENSITY]]*1000</f>
        <v>12.667261373773416</v>
      </c>
      <c r="W15" s="67">
        <f t="shared" si="0"/>
        <v>0</v>
      </c>
      <c r="X15" s="157" cm="1">
        <f t="array" ref="X15">IF($W15&lt;&gt;0,
IF(AND(
                         T15&gt;=_xlfn.PERCENTILE.INC(_xlfn._xlws.FILTER($T$2:$T$148, ($L$2:$L$148=L15)*($W$2:$W$148=1)),0.1),
                         T15&lt;=_xlfn.PERCENTILE.INC(_xlfn._xlws.FILTER($T$2:$T$148, ($L$2:$L$148=L15)*($W$2:$W$148=1)),0.9)
               ),1,0),
0)</f>
        <v>0</v>
      </c>
      <c r="Y15" s="164"/>
      <c r="Z15" s="39"/>
      <c r="AA15" s="68"/>
      <c r="AB15" s="68"/>
    </row>
    <row r="16" spans="1:28" s="42" customFormat="1" x14ac:dyDescent="0.45">
      <c r="A16" s="100" t="s">
        <v>355</v>
      </c>
      <c r="B16" s="103">
        <v>15</v>
      </c>
      <c r="C16" s="39" t="s">
        <v>168</v>
      </c>
      <c r="D16" s="40" t="s">
        <v>3</v>
      </c>
      <c r="E16" s="40"/>
      <c r="F16" s="41" t="s">
        <v>168</v>
      </c>
      <c r="G16" s="41" t="s">
        <v>168</v>
      </c>
      <c r="H16" s="41" t="s">
        <v>53</v>
      </c>
      <c r="I16" s="110" t="s">
        <v>39</v>
      </c>
      <c r="J16" s="50" t="s">
        <v>333</v>
      </c>
      <c r="K16" s="39" t="s">
        <v>325</v>
      </c>
      <c r="L16" s="123" t="s">
        <v>326</v>
      </c>
      <c r="M16" s="39" t="s">
        <v>2</v>
      </c>
      <c r="N16" s="41" t="s">
        <v>29</v>
      </c>
      <c r="O16" s="41">
        <v>2242</v>
      </c>
      <c r="P16" s="40" t="s">
        <v>168</v>
      </c>
      <c r="Q16" s="40" t="s">
        <v>168</v>
      </c>
      <c r="R16" s="40" t="s">
        <v>168</v>
      </c>
      <c r="S16" s="137" t="s">
        <v>168</v>
      </c>
      <c r="T16" s="67">
        <f>SUM(Table2[[#This Row],[A1toA3_GWP]:[C1toC4_GWP]])</f>
        <v>100.08920606601248</v>
      </c>
      <c r="U16" s="81">
        <f>196/Table2[[#This Row],[DENSITY]]*1000</f>
        <v>87.421944692239066</v>
      </c>
      <c r="V16" s="148">
        <f>28.4/Table2[[#This Row],[DENSITY]]*1000</f>
        <v>12.667261373773416</v>
      </c>
      <c r="W16" s="67">
        <f t="shared" si="0"/>
        <v>0</v>
      </c>
      <c r="X16" s="157" cm="1">
        <f t="array" ref="X16">IF($W16&lt;&gt;0,
IF(AND(
                         T16&gt;=_xlfn.PERCENTILE.INC(_xlfn._xlws.FILTER($T$2:$T$148, ($L$2:$L$148=L16)*($W$2:$W$148=1)),0.1),
                         T16&lt;=_xlfn.PERCENTILE.INC(_xlfn._xlws.FILTER($T$2:$T$148, ($L$2:$L$148=L16)*($W$2:$W$148=1)),0.9)
               ),1,0),
0)</f>
        <v>0</v>
      </c>
      <c r="Y16" s="164"/>
      <c r="Z16" s="39"/>
      <c r="AA16" s="68"/>
      <c r="AB16" s="45"/>
    </row>
    <row r="17" spans="1:28" s="42" customFormat="1" x14ac:dyDescent="0.45">
      <c r="A17" s="100" t="s">
        <v>356</v>
      </c>
      <c r="B17" s="103">
        <v>16</v>
      </c>
      <c r="C17" s="39" t="s">
        <v>168</v>
      </c>
      <c r="D17" s="40" t="s">
        <v>3</v>
      </c>
      <c r="E17" s="40"/>
      <c r="F17" s="41" t="s">
        <v>168</v>
      </c>
      <c r="G17" s="41" t="s">
        <v>168</v>
      </c>
      <c r="H17" s="41" t="s">
        <v>53</v>
      </c>
      <c r="I17" s="110" t="s">
        <v>32</v>
      </c>
      <c r="J17" s="50" t="s">
        <v>333</v>
      </c>
      <c r="K17" s="39" t="s">
        <v>325</v>
      </c>
      <c r="L17" s="123" t="s">
        <v>326</v>
      </c>
      <c r="M17" s="39" t="s">
        <v>43</v>
      </c>
      <c r="N17" s="41" t="s">
        <v>29</v>
      </c>
      <c r="O17" s="41">
        <v>2332</v>
      </c>
      <c r="P17" s="40" t="s">
        <v>168</v>
      </c>
      <c r="Q17" s="40" t="s">
        <v>168</v>
      </c>
      <c r="R17" s="40" t="s">
        <v>168</v>
      </c>
      <c r="S17" s="137" t="s">
        <v>168</v>
      </c>
      <c r="T17" s="67">
        <f>SUM(Table2[[#This Row],[A1toA3_GWP]:[C1toC4_GWP]])</f>
        <v>90.651801029159515</v>
      </c>
      <c r="U17" s="81">
        <f>183/Table2[[#This Row],[DENSITY]]*1000</f>
        <v>78.473413379073747</v>
      </c>
      <c r="V17" s="148">
        <f>28.4/Table2[[#This Row],[DENSITY]]*1000</f>
        <v>12.178387650085762</v>
      </c>
      <c r="W17" s="67">
        <f t="shared" si="0"/>
        <v>0</v>
      </c>
      <c r="X17" s="157" cm="1">
        <f t="array" ref="X17">IF($W17&lt;&gt;0,
IF(AND(
                         T17&gt;=_xlfn.PERCENTILE.INC(_xlfn._xlws.FILTER($T$2:$T$148, ($L$2:$L$148=L17)*($W$2:$W$148=1)),0.1),
                         T17&lt;=_xlfn.PERCENTILE.INC(_xlfn._xlws.FILTER($T$2:$T$148, ($L$2:$L$148=L17)*($W$2:$W$148=1)),0.9)
               ),1,0),
0)</f>
        <v>0</v>
      </c>
      <c r="Y17" s="164"/>
      <c r="Z17" s="39"/>
      <c r="AA17" s="68"/>
      <c r="AB17" s="45"/>
    </row>
    <row r="18" spans="1:28" s="42" customFormat="1" x14ac:dyDescent="0.45">
      <c r="A18" s="100" t="s">
        <v>357</v>
      </c>
      <c r="B18" s="103">
        <v>17</v>
      </c>
      <c r="C18" s="39" t="s">
        <v>168</v>
      </c>
      <c r="D18" s="40" t="s">
        <v>3</v>
      </c>
      <c r="E18" s="40"/>
      <c r="F18" s="41" t="s">
        <v>168</v>
      </c>
      <c r="G18" s="41" t="s">
        <v>168</v>
      </c>
      <c r="H18" s="41" t="s">
        <v>53</v>
      </c>
      <c r="I18" s="110" t="s">
        <v>35</v>
      </c>
      <c r="J18" s="50" t="s">
        <v>333</v>
      </c>
      <c r="K18" s="39" t="s">
        <v>325</v>
      </c>
      <c r="L18" s="123" t="s">
        <v>326</v>
      </c>
      <c r="M18" s="39" t="s">
        <v>2</v>
      </c>
      <c r="N18" s="41" t="s">
        <v>8</v>
      </c>
      <c r="O18" s="41">
        <v>2242</v>
      </c>
      <c r="P18" s="40" t="s">
        <v>168</v>
      </c>
      <c r="Q18" s="40" t="s">
        <v>168</v>
      </c>
      <c r="R18" s="40" t="s">
        <v>168</v>
      </c>
      <c r="S18" s="137" t="s">
        <v>168</v>
      </c>
      <c r="T18" s="67">
        <f>SUM(Table2[[#This Row],[A1toA3_GWP]:[C1toC4_GWP]])</f>
        <v>100.08920606601248</v>
      </c>
      <c r="U18" s="81">
        <f>196/Table2[[#This Row],[DENSITY]]*1000</f>
        <v>87.421944692239066</v>
      </c>
      <c r="V18" s="148">
        <f>28.4/Table2[[#This Row],[DENSITY]]*1000</f>
        <v>12.667261373773416</v>
      </c>
      <c r="W18" s="67">
        <f t="shared" si="0"/>
        <v>0</v>
      </c>
      <c r="X18" s="157" cm="1">
        <f t="array" ref="X18">IF($W18&lt;&gt;0,
IF(AND(
                         T18&gt;=_xlfn.PERCENTILE.INC(_xlfn._xlws.FILTER($T$2:$T$148, ($L$2:$L$148=L18)*($W$2:$W$148=1)),0.1),
                         T18&lt;=_xlfn.PERCENTILE.INC(_xlfn._xlws.FILTER($T$2:$T$148, ($L$2:$L$148=L18)*($W$2:$W$148=1)),0.9)
               ),1,0),
0)</f>
        <v>0</v>
      </c>
      <c r="Y18" s="164"/>
      <c r="Z18" s="39"/>
      <c r="AA18" s="68"/>
      <c r="AB18" s="45"/>
    </row>
    <row r="19" spans="1:28" s="42" customFormat="1" x14ac:dyDescent="0.45">
      <c r="A19" s="100" t="s">
        <v>358</v>
      </c>
      <c r="B19" s="103">
        <v>18</v>
      </c>
      <c r="C19" s="39" t="s">
        <v>168</v>
      </c>
      <c r="D19" s="40" t="s">
        <v>3</v>
      </c>
      <c r="E19" s="40"/>
      <c r="F19" s="41" t="s">
        <v>168</v>
      </c>
      <c r="G19" s="41" t="s">
        <v>168</v>
      </c>
      <c r="H19" s="41" t="s">
        <v>53</v>
      </c>
      <c r="I19" s="110" t="s">
        <v>42</v>
      </c>
      <c r="J19" s="50" t="s">
        <v>333</v>
      </c>
      <c r="K19" s="39" t="s">
        <v>325</v>
      </c>
      <c r="L19" s="123" t="s">
        <v>326</v>
      </c>
      <c r="M19" s="39" t="s">
        <v>2</v>
      </c>
      <c r="N19" s="41" t="s">
        <v>8</v>
      </c>
      <c r="O19" s="41">
        <v>2242</v>
      </c>
      <c r="P19" s="40" t="s">
        <v>168</v>
      </c>
      <c r="Q19" s="40" t="s">
        <v>168</v>
      </c>
      <c r="R19" s="40" t="s">
        <v>168</v>
      </c>
      <c r="S19" s="137" t="s">
        <v>168</v>
      </c>
      <c r="T19" s="67">
        <f>SUM(Table2[[#This Row],[A1toA3_GWP]:[C1toC4_GWP]])</f>
        <v>100.08920606601248</v>
      </c>
      <c r="U19" s="81">
        <f>196/Table2[[#This Row],[DENSITY]]*1000</f>
        <v>87.421944692239066</v>
      </c>
      <c r="V19" s="148">
        <f>28.4/Table2[[#This Row],[DENSITY]]*1000</f>
        <v>12.667261373773416</v>
      </c>
      <c r="W19" s="67">
        <f t="shared" si="0"/>
        <v>0</v>
      </c>
      <c r="X19" s="157" cm="1">
        <f t="array" ref="X19">IF($W19&lt;&gt;0,
IF(AND(
                         T19&gt;=_xlfn.PERCENTILE.INC(_xlfn._xlws.FILTER($T$2:$T$148, ($L$2:$L$148=L19)*($W$2:$W$148=1)),0.1),
                         T19&lt;=_xlfn.PERCENTILE.INC(_xlfn._xlws.FILTER($T$2:$T$148, ($L$2:$L$148=L19)*($W$2:$W$148=1)),0.9)
               ),1,0),
0)</f>
        <v>0</v>
      </c>
      <c r="Y19" s="164"/>
      <c r="Z19" s="39"/>
      <c r="AA19" s="68"/>
      <c r="AB19" s="45"/>
    </row>
    <row r="20" spans="1:28" s="42" customFormat="1" x14ac:dyDescent="0.45">
      <c r="A20" s="100" t="s">
        <v>359</v>
      </c>
      <c r="B20" s="103">
        <v>19</v>
      </c>
      <c r="C20" s="39" t="s">
        <v>168</v>
      </c>
      <c r="D20" s="40" t="s">
        <v>3</v>
      </c>
      <c r="E20" s="40"/>
      <c r="F20" s="41" t="s">
        <v>168</v>
      </c>
      <c r="G20" s="41" t="s">
        <v>168</v>
      </c>
      <c r="H20" s="41" t="s">
        <v>53</v>
      </c>
      <c r="I20" s="110" t="s">
        <v>6</v>
      </c>
      <c r="J20" s="50" t="s">
        <v>333</v>
      </c>
      <c r="K20" s="39" t="s">
        <v>325</v>
      </c>
      <c r="L20" s="123" t="s">
        <v>326</v>
      </c>
      <c r="M20" s="39" t="s">
        <v>2</v>
      </c>
      <c r="N20" s="41" t="s">
        <v>8</v>
      </c>
      <c r="O20" s="41">
        <v>2242</v>
      </c>
      <c r="P20" s="40" t="s">
        <v>168</v>
      </c>
      <c r="Q20" s="40" t="s">
        <v>168</v>
      </c>
      <c r="R20" s="40" t="s">
        <v>168</v>
      </c>
      <c r="S20" s="137" t="s">
        <v>168</v>
      </c>
      <c r="T20" s="67">
        <f>SUM(Table2[[#This Row],[A1toA3_GWP]:[C1toC4_GWP]])</f>
        <v>100.08920606601248</v>
      </c>
      <c r="U20" s="81">
        <f>196/Table2[[#This Row],[DENSITY]]*1000</f>
        <v>87.421944692239066</v>
      </c>
      <c r="V20" s="148">
        <f>28.4/Table2[[#This Row],[DENSITY]]*1000</f>
        <v>12.667261373773416</v>
      </c>
      <c r="W20" s="67">
        <f t="shared" si="0"/>
        <v>0</v>
      </c>
      <c r="X20" s="157" cm="1">
        <f t="array" ref="X20">IF($W20&lt;&gt;0,
IF(AND(
                         T20&gt;=_xlfn.PERCENTILE.INC(_xlfn._xlws.FILTER($T$2:$T$148, ($L$2:$L$148=L20)*($W$2:$W$148=1)),0.1),
                         T20&lt;=_xlfn.PERCENTILE.INC(_xlfn._xlws.FILTER($T$2:$T$148, ($L$2:$L$148=L20)*($W$2:$W$148=1)),0.9)
               ),1,0),
0)</f>
        <v>0</v>
      </c>
      <c r="Y20" s="164"/>
      <c r="Z20" s="39"/>
      <c r="AA20" s="68"/>
      <c r="AB20" s="45"/>
    </row>
    <row r="21" spans="1:28" s="42" customFormat="1" x14ac:dyDescent="0.45">
      <c r="A21" s="100" t="s">
        <v>360</v>
      </c>
      <c r="B21" s="103">
        <v>20</v>
      </c>
      <c r="C21" s="39" t="s">
        <v>168</v>
      </c>
      <c r="D21" s="40" t="s">
        <v>3</v>
      </c>
      <c r="E21" s="40"/>
      <c r="F21" s="41" t="s">
        <v>168</v>
      </c>
      <c r="G21" s="41" t="s">
        <v>168</v>
      </c>
      <c r="H21" s="41" t="s">
        <v>53</v>
      </c>
      <c r="I21" s="110" t="s">
        <v>35</v>
      </c>
      <c r="J21" s="50" t="s">
        <v>333</v>
      </c>
      <c r="K21" s="39" t="s">
        <v>325</v>
      </c>
      <c r="L21" s="123" t="s">
        <v>326</v>
      </c>
      <c r="M21" s="39" t="s">
        <v>43</v>
      </c>
      <c r="N21" s="41" t="s">
        <v>8</v>
      </c>
      <c r="O21" s="41">
        <v>2242</v>
      </c>
      <c r="P21" s="40" t="s">
        <v>168</v>
      </c>
      <c r="Q21" s="40" t="s">
        <v>168</v>
      </c>
      <c r="R21" s="40" t="s">
        <v>168</v>
      </c>
      <c r="S21" s="137" t="s">
        <v>168</v>
      </c>
      <c r="T21" s="67">
        <f>SUM(Table2[[#This Row],[A1toA3_GWP]:[C1toC4_GWP]])</f>
        <v>94.736842105263165</v>
      </c>
      <c r="U21" s="81">
        <f>184/Table2[[#This Row],[DENSITY]]*1000</f>
        <v>82.069580731489751</v>
      </c>
      <c r="V21" s="148">
        <f>28.4/Table2[[#This Row],[DENSITY]]*1000</f>
        <v>12.667261373773416</v>
      </c>
      <c r="W21" s="67">
        <f t="shared" si="0"/>
        <v>0</v>
      </c>
      <c r="X21" s="157" cm="1">
        <f t="array" ref="X21">IF($W21&lt;&gt;0,
IF(AND(
                         T21&gt;=_xlfn.PERCENTILE.INC(_xlfn._xlws.FILTER($T$2:$T$148, ($L$2:$L$148=L21)*($W$2:$W$148=1)),0.1),
                         T21&lt;=_xlfn.PERCENTILE.INC(_xlfn._xlws.FILTER($T$2:$T$148, ($L$2:$L$148=L21)*($W$2:$W$148=1)),0.9)
               ),1,0),
0)</f>
        <v>0</v>
      </c>
      <c r="Y21" s="164"/>
      <c r="Z21" s="39"/>
      <c r="AA21" s="68"/>
      <c r="AB21" s="45"/>
    </row>
    <row r="22" spans="1:28" s="42" customFormat="1" x14ac:dyDescent="0.45">
      <c r="A22" s="100" t="s">
        <v>361</v>
      </c>
      <c r="B22" s="103">
        <v>21</v>
      </c>
      <c r="C22" s="39" t="s">
        <v>168</v>
      </c>
      <c r="D22" s="40" t="s">
        <v>3</v>
      </c>
      <c r="E22" s="40"/>
      <c r="F22" s="41" t="s">
        <v>168</v>
      </c>
      <c r="G22" s="41" t="s">
        <v>168</v>
      </c>
      <c r="H22" s="41" t="s">
        <v>53</v>
      </c>
      <c r="I22" s="110" t="s">
        <v>37</v>
      </c>
      <c r="J22" s="50" t="s">
        <v>333</v>
      </c>
      <c r="K22" s="39" t="s">
        <v>325</v>
      </c>
      <c r="L22" s="123" t="s">
        <v>326</v>
      </c>
      <c r="M22" s="39" t="s">
        <v>2</v>
      </c>
      <c r="N22" s="41" t="s">
        <v>13</v>
      </c>
      <c r="O22" s="41">
        <v>2332</v>
      </c>
      <c r="P22" s="40" t="s">
        <v>168</v>
      </c>
      <c r="Q22" s="40" t="s">
        <v>168</v>
      </c>
      <c r="R22" s="40" t="s">
        <v>168</v>
      </c>
      <c r="S22" s="137" t="s">
        <v>168</v>
      </c>
      <c r="T22" s="67">
        <f>SUM(Table2[[#This Row],[A1toA3_GWP]:[C1toC4_GWP]])</f>
        <v>102.22984562607205</v>
      </c>
      <c r="U22" s="81">
        <f>210/Table2[[#This Row],[DENSITY]]*1000</f>
        <v>90.051457975986281</v>
      </c>
      <c r="V22" s="148">
        <f>28.4/Table2[[#This Row],[DENSITY]]*1000</f>
        <v>12.178387650085762</v>
      </c>
      <c r="W22" s="67">
        <f t="shared" si="0"/>
        <v>0</v>
      </c>
      <c r="X22" s="157" cm="1">
        <f t="array" ref="X22">IF($W22&lt;&gt;0,
IF(AND(
                         T22&gt;=_xlfn.PERCENTILE.INC(_xlfn._xlws.FILTER($T$2:$T$148, ($L$2:$L$148=L22)*($W$2:$W$148=1)),0.1),
                         T22&lt;=_xlfn.PERCENTILE.INC(_xlfn._xlws.FILTER($T$2:$T$148, ($L$2:$L$148=L22)*($W$2:$W$148=1)),0.9)
               ),1,0),
0)</f>
        <v>0</v>
      </c>
      <c r="Y22" s="164"/>
      <c r="Z22" s="39"/>
      <c r="AA22" s="68"/>
      <c r="AB22" s="45"/>
    </row>
    <row r="23" spans="1:28" s="42" customFormat="1" x14ac:dyDescent="0.45">
      <c r="A23" s="100" t="s">
        <v>362</v>
      </c>
      <c r="B23" s="103">
        <v>22</v>
      </c>
      <c r="C23" s="39" t="s">
        <v>168</v>
      </c>
      <c r="D23" s="40" t="s">
        <v>3</v>
      </c>
      <c r="E23" s="40"/>
      <c r="F23" s="41" t="s">
        <v>168</v>
      </c>
      <c r="G23" s="41" t="s">
        <v>168</v>
      </c>
      <c r="H23" s="41" t="s">
        <v>53</v>
      </c>
      <c r="I23" s="110" t="s">
        <v>37</v>
      </c>
      <c r="J23" s="50" t="s">
        <v>333</v>
      </c>
      <c r="K23" s="39" t="s">
        <v>325</v>
      </c>
      <c r="L23" s="123" t="s">
        <v>326</v>
      </c>
      <c r="M23" s="39" t="s">
        <v>43</v>
      </c>
      <c r="N23" s="41" t="s">
        <v>13</v>
      </c>
      <c r="O23" s="41">
        <v>2332</v>
      </c>
      <c r="P23" s="40" t="s">
        <v>168</v>
      </c>
      <c r="Q23" s="40" t="s">
        <v>168</v>
      </c>
      <c r="R23" s="40" t="s">
        <v>168</v>
      </c>
      <c r="S23" s="137" t="s">
        <v>168</v>
      </c>
      <c r="T23" s="67">
        <f>SUM(Table2[[#This Row],[A1toA3_GWP]:[C1toC4_GWP]])</f>
        <v>96.655231560891949</v>
      </c>
      <c r="U23" s="81">
        <f>197/Table2[[#This Row],[DENSITY]]*1000</f>
        <v>84.476843910806181</v>
      </c>
      <c r="V23" s="148">
        <f>28.4/Table2[[#This Row],[DENSITY]]*1000</f>
        <v>12.178387650085762</v>
      </c>
      <c r="W23" s="67">
        <f t="shared" si="0"/>
        <v>0</v>
      </c>
      <c r="X23" s="157" cm="1">
        <f t="array" ref="X23">IF($W23&lt;&gt;0,
IF(AND(
                         T23&gt;=_xlfn.PERCENTILE.INC(_xlfn._xlws.FILTER($T$2:$T$148, ($L$2:$L$148=L23)*($W$2:$W$148=1)),0.1),
                         T23&lt;=_xlfn.PERCENTILE.INC(_xlfn._xlws.FILTER($T$2:$T$148, ($L$2:$L$148=L23)*($W$2:$W$148=1)),0.9)
               ),1,0),
0)</f>
        <v>0</v>
      </c>
      <c r="Y23" s="164"/>
      <c r="Z23" s="39"/>
      <c r="AA23" s="68"/>
      <c r="AB23" s="45"/>
    </row>
    <row r="24" spans="1:28" customFormat="1" x14ac:dyDescent="0.45">
      <c r="A24" s="9" t="s">
        <v>202</v>
      </c>
      <c r="B24" s="101">
        <v>23</v>
      </c>
      <c r="C24" s="2" t="s">
        <v>33</v>
      </c>
      <c r="D24" s="3" t="s">
        <v>44</v>
      </c>
      <c r="E24" s="3"/>
      <c r="F24" s="34">
        <v>45068</v>
      </c>
      <c r="G24" s="34">
        <v>46894</v>
      </c>
      <c r="H24" s="27" t="s">
        <v>53</v>
      </c>
      <c r="I24" s="111" t="s">
        <v>32</v>
      </c>
      <c r="J24" s="51" t="s">
        <v>333</v>
      </c>
      <c r="K24" s="2" t="s">
        <v>325</v>
      </c>
      <c r="L24" s="124" t="s">
        <v>326</v>
      </c>
      <c r="M24" s="116" t="s">
        <v>168</v>
      </c>
      <c r="N24" s="27" t="s">
        <v>29</v>
      </c>
      <c r="O24" s="27">
        <v>2440</v>
      </c>
      <c r="P24" s="3" t="s">
        <v>45</v>
      </c>
      <c r="Q24" s="3">
        <v>32</v>
      </c>
      <c r="R24" s="3">
        <v>0.1</v>
      </c>
      <c r="S24" s="138" t="s">
        <v>46</v>
      </c>
      <c r="T24" s="99">
        <f>SUM(Table2[[#This Row],[A1toA3_GWP]:[C1toC4_GWP]])</f>
        <v>77.002049180327873</v>
      </c>
      <c r="U24" s="25">
        <f>170.624/Table2[[#This Row],[DENSITY]]*1000</f>
        <v>69.927868852459014</v>
      </c>
      <c r="V24" s="149">
        <f>(7.278+9.774+0.209)/Table2[[#This Row],[DENSITY]]*1000</f>
        <v>7.0741803278688522</v>
      </c>
      <c r="W24" s="99">
        <f t="shared" si="0"/>
        <v>1</v>
      </c>
      <c r="X24" s="158" cm="1">
        <f t="array" ref="X24">IF($W24&lt;&gt;0,
IF(AND(
                         T24&gt;=_xlfn.PERCENTILE.INC(_xlfn._xlws.FILTER($T$2:$T$148, ($L$2:$L$148=L24)*($W$2:$W$148=1)),0.1),
                         T24&lt;=_xlfn.PERCENTILE.INC(_xlfn._xlws.FILTER($T$2:$T$148, ($L$2:$L$148=L24)*($W$2:$W$148=1)),0.9)
               ),1,0),
0)</f>
        <v>1</v>
      </c>
      <c r="Y24" s="165"/>
      <c r="Z24" s="2"/>
      <c r="AA24" s="68"/>
      <c r="AB24" s="45"/>
    </row>
    <row r="25" spans="1:28" customFormat="1" x14ac:dyDescent="0.45">
      <c r="A25" s="9" t="s">
        <v>203</v>
      </c>
      <c r="B25" s="102">
        <v>24</v>
      </c>
      <c r="C25" s="2" t="s">
        <v>34</v>
      </c>
      <c r="D25" s="3" t="s">
        <v>44</v>
      </c>
      <c r="E25" s="3"/>
      <c r="F25" s="34">
        <v>45068</v>
      </c>
      <c r="G25" s="34">
        <v>46894</v>
      </c>
      <c r="H25" s="27" t="s">
        <v>53</v>
      </c>
      <c r="I25" s="111" t="s">
        <v>35</v>
      </c>
      <c r="J25" s="51" t="s">
        <v>333</v>
      </c>
      <c r="K25" s="2" t="s">
        <v>325</v>
      </c>
      <c r="L25" s="124" t="s">
        <v>326</v>
      </c>
      <c r="M25" s="116" t="s">
        <v>168</v>
      </c>
      <c r="N25" s="27" t="s">
        <v>8</v>
      </c>
      <c r="O25" s="27">
        <v>2439</v>
      </c>
      <c r="P25" s="3" t="s">
        <v>85</v>
      </c>
      <c r="Q25" s="3">
        <v>32</v>
      </c>
      <c r="R25" s="3">
        <v>0.1</v>
      </c>
      <c r="S25" s="138" t="s">
        <v>46</v>
      </c>
      <c r="T25" s="99">
        <f>SUM(Table2[[#This Row],[A1toA3_GWP]:[C1toC4_GWP]])</f>
        <v>78.746617466174669</v>
      </c>
      <c r="U25" s="25">
        <f>174.764/Table2[[#This Row],[DENSITY]]*1000</f>
        <v>71.653956539565399</v>
      </c>
      <c r="V25" s="149">
        <f>(7.278+9.812+0.209)/Table2[[#This Row],[DENSITY]]*1000</f>
        <v>7.0926609266092653</v>
      </c>
      <c r="W25" s="99">
        <f t="shared" si="0"/>
        <v>1</v>
      </c>
      <c r="X25" s="158" cm="1">
        <f t="array" ref="X25">IF($W25&lt;&gt;0,
IF(AND(
                         T25&gt;=_xlfn.PERCENTILE.INC(_xlfn._xlws.FILTER($T$2:$T$148, ($L$2:$L$148=L25)*($W$2:$W$148=1)),0.1),
                         T25&lt;=_xlfn.PERCENTILE.INC(_xlfn._xlws.FILTER($T$2:$T$148, ($L$2:$L$148=L25)*($W$2:$W$148=1)),0.9)
               ),1,0),
0)</f>
        <v>1</v>
      </c>
      <c r="Y25" s="165"/>
      <c r="Z25" s="2"/>
      <c r="AA25" s="68"/>
      <c r="AB25" s="45"/>
    </row>
    <row r="26" spans="1:28" customFormat="1" x14ac:dyDescent="0.45">
      <c r="A26" s="9" t="s">
        <v>204</v>
      </c>
      <c r="B26" s="102">
        <v>25</v>
      </c>
      <c r="C26" s="2" t="s">
        <v>36</v>
      </c>
      <c r="D26" s="3" t="s">
        <v>44</v>
      </c>
      <c r="E26" s="3"/>
      <c r="F26" s="34">
        <v>45068</v>
      </c>
      <c r="G26" s="34">
        <v>46894</v>
      </c>
      <c r="H26" s="27" t="s">
        <v>53</v>
      </c>
      <c r="I26" s="111" t="s">
        <v>37</v>
      </c>
      <c r="J26" s="51" t="s">
        <v>333</v>
      </c>
      <c r="K26" s="2" t="s">
        <v>325</v>
      </c>
      <c r="L26" s="124" t="s">
        <v>326</v>
      </c>
      <c r="M26" s="116" t="s">
        <v>168</v>
      </c>
      <c r="N26" s="27" t="s">
        <v>13</v>
      </c>
      <c r="O26" s="27">
        <v>2347</v>
      </c>
      <c r="P26" s="3" t="s">
        <v>86</v>
      </c>
      <c r="Q26" s="3">
        <v>32</v>
      </c>
      <c r="R26" s="3">
        <v>0.1</v>
      </c>
      <c r="S26" s="138" t="s">
        <v>87</v>
      </c>
      <c r="T26" s="99">
        <f>SUM(Table2[[#This Row],[A1toA3_GWP]:[C1toC4_GWP]])</f>
        <v>87.201533873029405</v>
      </c>
      <c r="U26" s="25">
        <f>187.792/Table2[[#This Row],[DENSITY]]*1000</f>
        <v>80.013634426927993</v>
      </c>
      <c r="V26" s="149">
        <f>(7.278+9.392+0.2)/Table2[[#This Row],[DENSITY]]*1000</f>
        <v>7.1878994461014054</v>
      </c>
      <c r="W26" s="99">
        <f t="shared" si="0"/>
        <v>1</v>
      </c>
      <c r="X26" s="158" cm="1">
        <f t="array" ref="X26">IF($W26&lt;&gt;0,
IF(AND(
                         T26&gt;=_xlfn.PERCENTILE.INC(_xlfn._xlws.FILTER($T$2:$T$148, ($L$2:$L$148=L26)*($W$2:$W$148=1)),0.1),
                         T26&lt;=_xlfn.PERCENTILE.INC(_xlfn._xlws.FILTER($T$2:$T$148, ($L$2:$L$148=L26)*($W$2:$W$148=1)),0.9)
               ),1,0),
0)</f>
        <v>1</v>
      </c>
      <c r="Y26" s="165"/>
      <c r="Z26" s="2"/>
      <c r="AA26" s="68"/>
      <c r="AB26" s="45"/>
    </row>
    <row r="27" spans="1:28" customFormat="1" x14ac:dyDescent="0.45">
      <c r="A27" s="9" t="s">
        <v>205</v>
      </c>
      <c r="B27" s="102">
        <v>26</v>
      </c>
      <c r="C27" s="2" t="s">
        <v>88</v>
      </c>
      <c r="D27" s="3" t="s">
        <v>44</v>
      </c>
      <c r="E27" s="3"/>
      <c r="F27" s="34">
        <v>45068</v>
      </c>
      <c r="G27" s="34">
        <v>46894</v>
      </c>
      <c r="H27" s="27" t="s">
        <v>53</v>
      </c>
      <c r="I27" s="111" t="s">
        <v>89</v>
      </c>
      <c r="J27" s="51" t="s">
        <v>333</v>
      </c>
      <c r="K27" s="2" t="s">
        <v>325</v>
      </c>
      <c r="L27" s="124" t="s">
        <v>326</v>
      </c>
      <c r="M27" s="116" t="s">
        <v>168</v>
      </c>
      <c r="N27" s="27" t="s">
        <v>8</v>
      </c>
      <c r="O27" s="27">
        <v>2437</v>
      </c>
      <c r="P27" s="3" t="s">
        <v>90</v>
      </c>
      <c r="Q27" s="3">
        <v>32</v>
      </c>
      <c r="R27" s="3">
        <v>0.1</v>
      </c>
      <c r="S27" s="138" t="s">
        <v>87</v>
      </c>
      <c r="T27" s="99">
        <f>SUM(Table2[[#This Row],[A1toA3_GWP]:[C1toC4_GWP]])</f>
        <v>84.09766105867871</v>
      </c>
      <c r="U27" s="25">
        <f>187.822/Table2[[#This Row],[DENSITY]]*1000</f>
        <v>77.070988920804268</v>
      </c>
      <c r="V27" s="149">
        <f>(7.278+9.64+0.206)/Table2[[#This Row],[DENSITY]]*1000</f>
        <v>7.026672137874435</v>
      </c>
      <c r="W27" s="99">
        <f t="shared" si="0"/>
        <v>1</v>
      </c>
      <c r="X27" s="158" cm="1">
        <f t="array" ref="X27">IF($W27&lt;&gt;0,
IF(AND(
                         T27&gt;=_xlfn.PERCENTILE.INC(_xlfn._xlws.FILTER($T$2:$T$148, ($L$2:$L$148=L27)*($W$2:$W$148=1)),0.1),
                         T27&lt;=_xlfn.PERCENTILE.INC(_xlfn._xlws.FILTER($T$2:$T$148, ($L$2:$L$148=L27)*($W$2:$W$148=1)),0.9)
               ),1,0),
0)</f>
        <v>1</v>
      </c>
      <c r="Y27" s="165"/>
      <c r="Z27" s="2"/>
      <c r="AA27" s="68"/>
      <c r="AB27" s="45"/>
    </row>
    <row r="28" spans="1:28" customFormat="1" x14ac:dyDescent="0.45">
      <c r="A28" s="9" t="s">
        <v>206</v>
      </c>
      <c r="B28" s="102">
        <v>27</v>
      </c>
      <c r="C28" s="2" t="s">
        <v>91</v>
      </c>
      <c r="D28" s="3" t="s">
        <v>44</v>
      </c>
      <c r="E28" s="3"/>
      <c r="F28" s="34">
        <v>45068</v>
      </c>
      <c r="G28" s="34">
        <v>46894</v>
      </c>
      <c r="H28" s="27" t="s">
        <v>53</v>
      </c>
      <c r="I28" s="111" t="s">
        <v>92</v>
      </c>
      <c r="J28" s="51" t="s">
        <v>333</v>
      </c>
      <c r="K28" s="2" t="s">
        <v>325</v>
      </c>
      <c r="L28" s="124" t="s">
        <v>326</v>
      </c>
      <c r="M28" s="116" t="s">
        <v>168</v>
      </c>
      <c r="N28" s="27" t="s">
        <v>8</v>
      </c>
      <c r="O28" s="27">
        <v>2400</v>
      </c>
      <c r="P28" s="3" t="s">
        <v>93</v>
      </c>
      <c r="Q28" s="3">
        <v>32</v>
      </c>
      <c r="R28" s="3">
        <v>0.1</v>
      </c>
      <c r="S28" s="138" t="s">
        <v>87</v>
      </c>
      <c r="T28" s="99">
        <f>SUM(Table2[[#This Row],[A1toA3_GWP]:[C1toC4_GWP]])</f>
        <v>87.324999999999989</v>
      </c>
      <c r="U28" s="25">
        <f>192.159/Table2[[#This Row],[DENSITY]]*1000</f>
        <v>80.066249999999997</v>
      </c>
      <c r="V28" s="149">
        <f>(7.278+9.931+0.212)/Table2[[#This Row],[DENSITY]]*1000</f>
        <v>7.2587499999999991</v>
      </c>
      <c r="W28" s="99">
        <f t="shared" si="0"/>
        <v>1</v>
      </c>
      <c r="X28" s="158" cm="1">
        <f t="array" ref="X28">IF($W28&lt;&gt;0,
IF(AND(
                         T28&gt;=_xlfn.PERCENTILE.INC(_xlfn._xlws.FILTER($T$2:$T$148, ($L$2:$L$148=L28)*($W$2:$W$148=1)),0.1),
                         T28&lt;=_xlfn.PERCENTILE.INC(_xlfn._xlws.FILTER($T$2:$T$148, ($L$2:$L$148=L28)*($W$2:$W$148=1)),0.9)
               ),1,0),
0)</f>
        <v>1</v>
      </c>
      <c r="Y28" s="165"/>
      <c r="Z28" s="2"/>
      <c r="AA28" s="68"/>
      <c r="AB28" s="45"/>
    </row>
    <row r="29" spans="1:28" customFormat="1" x14ac:dyDescent="0.45">
      <c r="A29" s="9" t="s">
        <v>207</v>
      </c>
      <c r="B29" s="102">
        <v>28</v>
      </c>
      <c r="C29" s="2" t="s">
        <v>94</v>
      </c>
      <c r="D29" s="3" t="s">
        <v>44</v>
      </c>
      <c r="E29" s="3"/>
      <c r="F29" s="34">
        <v>45068</v>
      </c>
      <c r="G29" s="34">
        <v>46894</v>
      </c>
      <c r="H29" s="27" t="s">
        <v>53</v>
      </c>
      <c r="I29" s="111" t="s">
        <v>95</v>
      </c>
      <c r="J29" s="51" t="s">
        <v>333</v>
      </c>
      <c r="K29" s="2" t="s">
        <v>325</v>
      </c>
      <c r="L29" s="124" t="s">
        <v>326</v>
      </c>
      <c r="M29" s="116" t="s">
        <v>168</v>
      </c>
      <c r="N29" s="27" t="s">
        <v>13</v>
      </c>
      <c r="O29" s="27">
        <v>2420</v>
      </c>
      <c r="P29" s="3" t="s">
        <v>96</v>
      </c>
      <c r="Q29" s="3">
        <v>32</v>
      </c>
      <c r="R29" s="3">
        <v>0.1</v>
      </c>
      <c r="S29" s="138" t="s">
        <v>87</v>
      </c>
      <c r="T29" s="99">
        <f>SUM(Table2[[#This Row],[A1toA3_GWP]:[C1toC4_GWP]])</f>
        <v>91.627272727272739</v>
      </c>
      <c r="U29" s="25">
        <f>204.59/Table2[[#This Row],[DENSITY]]*1000</f>
        <v>84.541322314049594</v>
      </c>
      <c r="V29" s="149">
        <f>(7.278+9.664+0.206)/Table2[[#This Row],[DENSITY]]*1000</f>
        <v>7.0859504132231406</v>
      </c>
      <c r="W29" s="99">
        <f t="shared" si="0"/>
        <v>1</v>
      </c>
      <c r="X29" s="158" cm="1">
        <f t="array" ref="X29">IF($W29&lt;&gt;0,
IF(AND(
                         T29&gt;=_xlfn.PERCENTILE.INC(_xlfn._xlws.FILTER($T$2:$T$148, ($L$2:$L$148=L29)*($W$2:$W$148=1)),0.1),
                         T29&lt;=_xlfn.PERCENTILE.INC(_xlfn._xlws.FILTER($T$2:$T$148, ($L$2:$L$148=L29)*($W$2:$W$148=1)),0.9)
               ),1,0),
0)</f>
        <v>1</v>
      </c>
      <c r="Y29" s="165"/>
      <c r="Z29" s="2"/>
      <c r="AA29" s="68"/>
      <c r="AB29" s="45"/>
    </row>
    <row r="30" spans="1:28" customFormat="1" x14ac:dyDescent="0.45">
      <c r="A30" s="9" t="s">
        <v>208</v>
      </c>
      <c r="B30" s="102">
        <v>29</v>
      </c>
      <c r="C30" s="2" t="s">
        <v>97</v>
      </c>
      <c r="D30" s="3" t="s">
        <v>44</v>
      </c>
      <c r="E30" s="3"/>
      <c r="F30" s="34">
        <v>45068</v>
      </c>
      <c r="G30" s="34">
        <v>46894</v>
      </c>
      <c r="H30" s="27" t="s">
        <v>53</v>
      </c>
      <c r="I30" s="111" t="s">
        <v>98</v>
      </c>
      <c r="J30" s="51" t="s">
        <v>333</v>
      </c>
      <c r="K30" s="2" t="s">
        <v>325</v>
      </c>
      <c r="L30" s="124" t="s">
        <v>326</v>
      </c>
      <c r="M30" s="116" t="s">
        <v>168</v>
      </c>
      <c r="N30" s="27" t="s">
        <v>13</v>
      </c>
      <c r="O30" s="27">
        <v>2430</v>
      </c>
      <c r="P30" s="3" t="s">
        <v>99</v>
      </c>
      <c r="Q30" s="3">
        <v>32</v>
      </c>
      <c r="R30" s="3">
        <v>0.1</v>
      </c>
      <c r="S30" s="138" t="s">
        <v>87</v>
      </c>
      <c r="T30" s="99">
        <f>SUM(Table2[[#This Row],[A1toA3_GWP]:[C1toC4_GWP]])</f>
        <v>76.722633744855969</v>
      </c>
      <c r="U30" s="25">
        <f>169.181/Table2[[#This Row],[DENSITY]]*1000</f>
        <v>69.62181069958848</v>
      </c>
      <c r="V30" s="149">
        <f>(7.278+9.768+0.209)/Table2[[#This Row],[DENSITY]]*1000</f>
        <v>7.1008230452674894</v>
      </c>
      <c r="W30" s="99">
        <f t="shared" si="0"/>
        <v>1</v>
      </c>
      <c r="X30" s="158" cm="1">
        <f t="array" ref="X30">IF($W30&lt;&gt;0,
IF(AND(
                         T30&gt;=_xlfn.PERCENTILE.INC(_xlfn._xlws.FILTER($T$2:$T$148, ($L$2:$L$148=L30)*($W$2:$W$148=1)),0.1),
                         T30&lt;=_xlfn.PERCENTILE.INC(_xlfn._xlws.FILTER($T$2:$T$148, ($L$2:$L$148=L30)*($W$2:$W$148=1)),0.9)
               ),1,0),
0)</f>
        <v>0</v>
      </c>
      <c r="Y30" s="165"/>
      <c r="Z30" s="2"/>
      <c r="AA30" s="68"/>
      <c r="AB30" s="45"/>
    </row>
    <row r="31" spans="1:28" customFormat="1" x14ac:dyDescent="0.45">
      <c r="A31" s="170" t="s">
        <v>487</v>
      </c>
      <c r="B31" s="171">
        <v>30</v>
      </c>
      <c r="C31" s="17"/>
      <c r="D31" s="18" t="s">
        <v>480</v>
      </c>
      <c r="E31" s="199" t="s">
        <v>503</v>
      </c>
      <c r="F31" s="37"/>
      <c r="G31" s="37"/>
      <c r="H31" s="32"/>
      <c r="I31" s="17" t="s">
        <v>479</v>
      </c>
      <c r="J31" s="187" t="s">
        <v>333</v>
      </c>
      <c r="K31" s="17" t="s">
        <v>325</v>
      </c>
      <c r="L31" s="126" t="s">
        <v>326</v>
      </c>
      <c r="M31" s="118" t="s">
        <v>486</v>
      </c>
      <c r="N31" s="32"/>
      <c r="O31" s="32">
        <v>2368</v>
      </c>
      <c r="P31" s="18"/>
      <c r="Q31" s="18"/>
      <c r="R31" s="18"/>
      <c r="S31" s="142"/>
      <c r="T31" s="135">
        <f>SUM(Table2[[#This Row],[A1toA3_GWP]:[C1toC4_GWP]])</f>
        <v>69</v>
      </c>
      <c r="U31" s="89">
        <v>56</v>
      </c>
      <c r="V31" s="153">
        <v>13</v>
      </c>
      <c r="W31" s="135">
        <v>0</v>
      </c>
      <c r="X31" s="172" cm="1">
        <f t="array" ref="X31">IF($W31&lt;&gt;0,
IF(AND(
                         T31&gt;=_xlfn.PERCENTILE.INC(_xlfn._xlws.FILTER($T$2:$T$148, ($L$2:$L$148=L31)*($W$2:$W$148=1)),0.1),
                         T31&lt;=_xlfn.PERCENTILE.INC(_xlfn._xlws.FILTER($T$2:$T$148, ($L$2:$L$148=L31)*($W$2:$W$148=1)),0.9)
               ),1,0),
0)</f>
        <v>0</v>
      </c>
      <c r="Y31" s="169"/>
      <c r="Z31" s="2"/>
      <c r="AA31" s="197"/>
      <c r="AB31" s="45"/>
    </row>
    <row r="32" spans="1:28" customFormat="1" x14ac:dyDescent="0.45">
      <c r="A32" s="170" t="s">
        <v>488</v>
      </c>
      <c r="B32" s="171">
        <v>31</v>
      </c>
      <c r="C32" s="17"/>
      <c r="D32" s="18" t="s">
        <v>480</v>
      </c>
      <c r="E32" s="199" t="s">
        <v>504</v>
      </c>
      <c r="F32" s="37"/>
      <c r="G32" s="37"/>
      <c r="H32" s="32"/>
      <c r="I32" s="113" t="s">
        <v>481</v>
      </c>
      <c r="J32" s="187" t="s">
        <v>333</v>
      </c>
      <c r="K32" s="17" t="s">
        <v>325</v>
      </c>
      <c r="L32" s="126" t="s">
        <v>326</v>
      </c>
      <c r="M32" s="118" t="s">
        <v>486</v>
      </c>
      <c r="N32" s="32"/>
      <c r="O32" s="32">
        <v>2378</v>
      </c>
      <c r="P32" s="18"/>
      <c r="Q32" s="18"/>
      <c r="R32" s="18"/>
      <c r="S32" s="142"/>
      <c r="T32" s="135">
        <f>SUM(Table2[[#This Row],[A1toA3_GWP]:[C1toC4_GWP]])</f>
        <v>71</v>
      </c>
      <c r="U32" s="89">
        <v>58</v>
      </c>
      <c r="V32" s="153">
        <v>13</v>
      </c>
      <c r="W32" s="135">
        <v>0</v>
      </c>
      <c r="X32" s="172" cm="1">
        <f t="array" ref="X32">IF($W32&lt;&gt;0,
IF(AND(
                         T32&gt;=_xlfn.PERCENTILE.INC(_xlfn._xlws.FILTER($T$2:$T$148, ($L$2:$L$148=L32)*($W$2:$W$148=1)),0.1),
                         T32&lt;=_xlfn.PERCENTILE.INC(_xlfn._xlws.FILTER($T$2:$T$148, ($L$2:$L$148=L32)*($W$2:$W$148=1)),0.9)
               ),1,0),
0)</f>
        <v>0</v>
      </c>
      <c r="Y32" s="169"/>
      <c r="Z32" s="2"/>
      <c r="AA32" s="200"/>
      <c r="AB32" s="45"/>
    </row>
    <row r="33" spans="1:28" customFormat="1" x14ac:dyDescent="0.45">
      <c r="A33" s="170" t="s">
        <v>489</v>
      </c>
      <c r="B33" s="171">
        <v>32</v>
      </c>
      <c r="C33" s="17"/>
      <c r="D33" s="18" t="s">
        <v>480</v>
      </c>
      <c r="E33" s="204" t="s">
        <v>505</v>
      </c>
      <c r="F33" s="37"/>
      <c r="G33" s="37"/>
      <c r="H33" s="32"/>
      <c r="I33" s="113" t="s">
        <v>482</v>
      </c>
      <c r="J33" s="187" t="s">
        <v>333</v>
      </c>
      <c r="K33" s="17" t="s">
        <v>325</v>
      </c>
      <c r="L33" s="126" t="s">
        <v>326</v>
      </c>
      <c r="M33" s="118" t="s">
        <v>486</v>
      </c>
      <c r="N33" s="32"/>
      <c r="O33" s="32">
        <v>2373</v>
      </c>
      <c r="P33" s="18"/>
      <c r="Q33" s="18"/>
      <c r="R33" s="18"/>
      <c r="S33" s="142"/>
      <c r="T33" s="135">
        <f>SUM(Table2[[#This Row],[A1toA3_GWP]:[C1toC4_GWP]])</f>
        <v>77</v>
      </c>
      <c r="U33" s="89">
        <v>64</v>
      </c>
      <c r="V33" s="153">
        <v>13</v>
      </c>
      <c r="W33" s="135">
        <v>0</v>
      </c>
      <c r="X33" s="172" cm="1">
        <f t="array" ref="X33">IF($W33&lt;&gt;0,
IF(AND(
                         T33&gt;=_xlfn.PERCENTILE.INC(_xlfn._xlws.FILTER($T$2:$T$148, ($L$2:$L$148=L33)*($W$2:$W$148=1)),0.1),
                         T33&lt;=_xlfn.PERCENTILE.INC(_xlfn._xlws.FILTER($T$2:$T$148, ($L$2:$L$148=L33)*($W$2:$W$148=1)),0.9)
               ),1,0),
0)</f>
        <v>0</v>
      </c>
      <c r="Y33" s="169"/>
      <c r="Z33" s="2"/>
      <c r="AA33" s="200"/>
      <c r="AB33" s="45"/>
    </row>
    <row r="34" spans="1:28" customFormat="1" x14ac:dyDescent="0.45">
      <c r="A34" s="170" t="s">
        <v>490</v>
      </c>
      <c r="B34" s="171">
        <v>33</v>
      </c>
      <c r="C34" s="17"/>
      <c r="D34" s="18" t="s">
        <v>480</v>
      </c>
      <c r="E34" s="204" t="s">
        <v>506</v>
      </c>
      <c r="F34" s="37"/>
      <c r="G34" s="37"/>
      <c r="H34" s="32"/>
      <c r="I34" s="113" t="s">
        <v>483</v>
      </c>
      <c r="J34" s="187" t="s">
        <v>333</v>
      </c>
      <c r="K34" s="17" t="s">
        <v>325</v>
      </c>
      <c r="L34" s="126" t="s">
        <v>326</v>
      </c>
      <c r="M34" s="118" t="s">
        <v>486</v>
      </c>
      <c r="N34" s="32"/>
      <c r="O34" s="32">
        <v>2388</v>
      </c>
      <c r="P34" s="18"/>
      <c r="Q34" s="18"/>
      <c r="R34" s="18"/>
      <c r="S34" s="142"/>
      <c r="T34" s="135">
        <f>SUM(Table2[[#This Row],[A1toA3_GWP]:[C1toC4_GWP]])</f>
        <v>79</v>
      </c>
      <c r="U34" s="89">
        <v>66</v>
      </c>
      <c r="V34" s="153">
        <v>13</v>
      </c>
      <c r="W34" s="135">
        <v>0</v>
      </c>
      <c r="X34" s="172" cm="1">
        <f t="array" ref="X34">IF($W34&lt;&gt;0,
IF(AND(
                         T34&gt;=_xlfn.PERCENTILE.INC(_xlfn._xlws.FILTER($T$2:$T$148, ($L$2:$L$148=L34)*($W$2:$W$148=1)),0.1),
                         T34&lt;=_xlfn.PERCENTILE.INC(_xlfn._xlws.FILTER($T$2:$T$148, ($L$2:$L$148=L34)*($W$2:$W$148=1)),0.9)
               ),1,0),
0)</f>
        <v>0</v>
      </c>
      <c r="Y34" s="169"/>
      <c r="Z34" s="2"/>
      <c r="AA34" s="200"/>
      <c r="AB34" s="45"/>
    </row>
    <row r="35" spans="1:28" customFormat="1" x14ac:dyDescent="0.45">
      <c r="A35" s="170" t="s">
        <v>491</v>
      </c>
      <c r="B35" s="188">
        <v>34</v>
      </c>
      <c r="C35" s="17"/>
      <c r="D35" s="18" t="s">
        <v>480</v>
      </c>
      <c r="E35" s="204" t="s">
        <v>507</v>
      </c>
      <c r="F35" s="37"/>
      <c r="G35" s="37"/>
      <c r="H35" s="32"/>
      <c r="I35" s="113" t="s">
        <v>484</v>
      </c>
      <c r="J35" s="187" t="s">
        <v>333</v>
      </c>
      <c r="K35" s="17" t="s">
        <v>325</v>
      </c>
      <c r="L35" s="126" t="s">
        <v>326</v>
      </c>
      <c r="M35" s="118" t="s">
        <v>486</v>
      </c>
      <c r="N35" s="32"/>
      <c r="O35" s="32">
        <v>2344</v>
      </c>
      <c r="P35" s="18"/>
      <c r="Q35" s="18"/>
      <c r="R35" s="18"/>
      <c r="S35" s="142"/>
      <c r="T35" s="135">
        <f>SUM(Table2[[#This Row],[A1toA3_GWP]:[C1toC4_GWP]])</f>
        <v>104</v>
      </c>
      <c r="U35" s="89">
        <v>91</v>
      </c>
      <c r="V35" s="153">
        <v>13</v>
      </c>
      <c r="W35" s="135">
        <v>0</v>
      </c>
      <c r="X35" s="172" cm="1">
        <f t="array" ref="X35">IF($W35&lt;&gt;0,
IF(AND(
                         T35&gt;=_xlfn.PERCENTILE.INC(_xlfn._xlws.FILTER($T$2:$T$148, ($L$2:$L$148=L35)*($W$2:$W$148=1)),0.1),
                         T35&lt;=_xlfn.PERCENTILE.INC(_xlfn._xlws.FILTER($T$2:$T$148, ($L$2:$L$148=L35)*($W$2:$W$148=1)),0.9)
               ),1,0),
0)</f>
        <v>0</v>
      </c>
      <c r="Y35" s="169"/>
      <c r="Z35" s="2"/>
      <c r="AA35" s="200"/>
      <c r="AB35" s="45"/>
    </row>
    <row r="36" spans="1:28" customFormat="1" x14ac:dyDescent="0.45">
      <c r="A36" s="170" t="s">
        <v>492</v>
      </c>
      <c r="B36" s="171">
        <v>35</v>
      </c>
      <c r="C36" s="17"/>
      <c r="D36" s="18" t="s">
        <v>480</v>
      </c>
      <c r="E36" s="204" t="s">
        <v>508</v>
      </c>
      <c r="F36" s="37"/>
      <c r="G36" s="37"/>
      <c r="H36" s="32"/>
      <c r="I36" s="113" t="s">
        <v>485</v>
      </c>
      <c r="J36" s="187" t="s">
        <v>333</v>
      </c>
      <c r="K36" s="17" t="s">
        <v>325</v>
      </c>
      <c r="L36" s="126" t="s">
        <v>326</v>
      </c>
      <c r="M36" s="118" t="s">
        <v>486</v>
      </c>
      <c r="N36" s="32"/>
      <c r="O36" s="32">
        <v>2334</v>
      </c>
      <c r="P36" s="18"/>
      <c r="Q36" s="18"/>
      <c r="R36" s="18"/>
      <c r="S36" s="142"/>
      <c r="T36" s="135">
        <f>SUM(Table2[[#This Row],[A1toA3_GWP]:[C1toC4_GWP]])</f>
        <v>108</v>
      </c>
      <c r="U36" s="89">
        <v>95</v>
      </c>
      <c r="V36" s="153">
        <v>13</v>
      </c>
      <c r="W36" s="135">
        <v>0</v>
      </c>
      <c r="X36" s="172" cm="1">
        <f t="array" ref="X36">IF($W36&lt;&gt;0,
IF(AND(
                         T36&gt;=_xlfn.PERCENTILE.INC(_xlfn._xlws.FILTER($T$2:$T$148, ($L$2:$L$148=L36)*($W$2:$W$148=1)),0.1),
                         T36&lt;=_xlfn.PERCENTILE.INC(_xlfn._xlws.FILTER($T$2:$T$148, ($L$2:$L$148=L36)*($W$2:$W$148=1)),0.9)
               ),1,0),
0)</f>
        <v>0</v>
      </c>
      <c r="Y36" s="169"/>
      <c r="Z36" s="2"/>
      <c r="AA36" s="200"/>
      <c r="AB36" s="45"/>
    </row>
    <row r="37" spans="1:28" s="16" customFormat="1" ht="14.65" thickBot="1" x14ac:dyDescent="0.5">
      <c r="A37" s="189" t="s">
        <v>201</v>
      </c>
      <c r="B37" s="190">
        <v>36</v>
      </c>
      <c r="C37" s="14"/>
      <c r="D37" s="15" t="s">
        <v>480</v>
      </c>
      <c r="E37" s="205" t="s">
        <v>509</v>
      </c>
      <c r="F37" s="15"/>
      <c r="G37" s="28"/>
      <c r="H37" s="28" t="s">
        <v>53</v>
      </c>
      <c r="I37" s="112" t="s">
        <v>40</v>
      </c>
      <c r="J37" s="107" t="s">
        <v>333</v>
      </c>
      <c r="K37" s="14" t="s">
        <v>325</v>
      </c>
      <c r="L37" s="191" t="s">
        <v>326</v>
      </c>
      <c r="M37" s="117" t="s">
        <v>168</v>
      </c>
      <c r="N37" s="28" t="s">
        <v>168</v>
      </c>
      <c r="O37" s="28">
        <v>2300</v>
      </c>
      <c r="P37" s="15" t="s">
        <v>168</v>
      </c>
      <c r="Q37" s="15" t="s">
        <v>168</v>
      </c>
      <c r="R37" s="15" t="s">
        <v>168</v>
      </c>
      <c r="S37" s="139" t="s">
        <v>168</v>
      </c>
      <c r="T37" s="130">
        <f>0.101*1000</f>
        <v>101</v>
      </c>
      <c r="U37" s="82">
        <v>89</v>
      </c>
      <c r="V37" s="150">
        <v>13</v>
      </c>
      <c r="W37" s="130">
        <f t="shared" si="0"/>
        <v>1</v>
      </c>
      <c r="X37" s="192" cm="1">
        <f t="array" ref="X37">IF($W37&lt;&gt;0,
IF(AND(
                         T37&gt;=_xlfn.PERCENTILE.INC(_xlfn._xlws.FILTER($T$2:$T$148, ($L$2:$L$148=L37)*($W$2:$W$148=1)),0.1),
                         T37&lt;=_xlfn.PERCENTILE.INC(_xlfn._xlws.FILTER($T$2:$T$148, ($L$2:$L$148=L37)*($W$2:$W$148=1)),0.9)
               ),1,0),
0)</f>
        <v>0</v>
      </c>
      <c r="Y37" s="166"/>
      <c r="Z37" s="14"/>
      <c r="AA37" s="200"/>
      <c r="AB37" s="45"/>
    </row>
    <row r="38" spans="1:28" s="16" customFormat="1" x14ac:dyDescent="0.45">
      <c r="A38" s="170" t="s">
        <v>199</v>
      </c>
      <c r="B38" s="171">
        <v>37</v>
      </c>
      <c r="C38" s="17"/>
      <c r="D38" s="18" t="s">
        <v>480</v>
      </c>
      <c r="E38" s="206">
        <v>6.0030000000000001</v>
      </c>
      <c r="F38" s="18"/>
      <c r="G38" s="32"/>
      <c r="H38" s="32" t="s">
        <v>53</v>
      </c>
      <c r="I38" s="113" t="s">
        <v>4</v>
      </c>
      <c r="J38" s="21" t="s">
        <v>334</v>
      </c>
      <c r="K38" s="17" t="s">
        <v>327</v>
      </c>
      <c r="L38" s="126" t="s">
        <v>328</v>
      </c>
      <c r="M38" s="118" t="s">
        <v>168</v>
      </c>
      <c r="N38" s="29" t="s">
        <v>0</v>
      </c>
      <c r="O38" s="29">
        <v>7850</v>
      </c>
      <c r="P38" s="19" t="s">
        <v>428</v>
      </c>
      <c r="Q38" s="19" t="s">
        <v>428</v>
      </c>
      <c r="R38" s="19" t="s">
        <v>428</v>
      </c>
      <c r="S38" s="140" t="s">
        <v>428</v>
      </c>
      <c r="T38" s="131">
        <v>785</v>
      </c>
      <c r="U38" s="83">
        <v>773</v>
      </c>
      <c r="V38" s="151">
        <v>12</v>
      </c>
      <c r="W38" s="135">
        <f t="shared" si="0"/>
        <v>1</v>
      </c>
      <c r="X38" s="172" cm="1">
        <f t="array" ref="X38">IF($W38&lt;&gt;0,
IF(AND(
                         T38&gt;=_xlfn.PERCENTILE.INC(_xlfn._xlws.FILTER($T$2:$T$148, ($L$2:$L$148=L38)*($W$2:$W$148=1)),0.1),
                         T38&lt;=_xlfn.PERCENTILE.INC(_xlfn._xlws.FILTER($T$2:$T$148, ($L$2:$L$148=L38)*($W$2:$W$148=1)),0.9)
               ),1,0),
0)</f>
        <v>0</v>
      </c>
      <c r="Y38" s="167"/>
      <c r="Z38" s="17"/>
      <c r="AA38" s="200"/>
      <c r="AB38" s="45"/>
    </row>
    <row r="39" spans="1:28" customFormat="1" x14ac:dyDescent="0.45">
      <c r="A39" s="9" t="s">
        <v>200</v>
      </c>
      <c r="B39" s="104">
        <v>38</v>
      </c>
      <c r="C39" s="2" t="s">
        <v>47</v>
      </c>
      <c r="D39" s="3" t="s">
        <v>48</v>
      </c>
      <c r="E39" s="3"/>
      <c r="F39" s="18">
        <v>44627</v>
      </c>
      <c r="G39" s="34">
        <v>46404</v>
      </c>
      <c r="H39" s="34" t="s">
        <v>53</v>
      </c>
      <c r="I39" s="111" t="s">
        <v>49</v>
      </c>
      <c r="J39" s="6" t="s">
        <v>334</v>
      </c>
      <c r="K39" s="2" t="s">
        <v>327</v>
      </c>
      <c r="L39" s="127" t="s">
        <v>328</v>
      </c>
      <c r="M39" s="116" t="s">
        <v>168</v>
      </c>
      <c r="N39" s="43" t="s">
        <v>0</v>
      </c>
      <c r="O39" s="27">
        <v>7850</v>
      </c>
      <c r="P39" s="3" t="s">
        <v>428</v>
      </c>
      <c r="Q39" s="3" t="s">
        <v>428</v>
      </c>
      <c r="R39" s="3" t="s">
        <v>428</v>
      </c>
      <c r="S39" s="138" t="s">
        <v>428</v>
      </c>
      <c r="T39" s="132">
        <f>Table2[[#This Row],[A1toA3_GWP]]+Table2[[#This Row],[C1toC4_GWP]]</f>
        <v>460.23999999999995</v>
      </c>
      <c r="U39" s="25">
        <f>119+10.9+238</f>
        <v>367.9</v>
      </c>
      <c r="V39" s="149">
        <f t="shared" ref="V39" si="1">51.1+26+2.64+12.6</f>
        <v>92.339999999999989</v>
      </c>
      <c r="W39" s="99">
        <f t="shared" si="0"/>
        <v>1</v>
      </c>
      <c r="X39" s="158" cm="1">
        <f t="array" ref="X39">IF($W39&lt;&gt;0,
IF(AND(
                         T39&gt;=_xlfn.PERCENTILE.INC(_xlfn._xlws.FILTER($T$2:$T$148, ($L$2:$L$148=L39)*($W$2:$W$148=1)),0.1),
                         T39&lt;=_xlfn.PERCENTILE.INC(_xlfn._xlws.FILTER($T$2:$T$148, ($L$2:$L$148=L39)*($W$2:$W$148=1)),0.9)
               ),1,0),
0)</f>
        <v>1</v>
      </c>
      <c r="Y39" s="165"/>
      <c r="Z39" s="2"/>
      <c r="AA39" s="201"/>
      <c r="AB39" s="45"/>
    </row>
    <row r="40" spans="1:28" customFormat="1" x14ac:dyDescent="0.45">
      <c r="A40" s="9" t="s">
        <v>213</v>
      </c>
      <c r="B40" s="104">
        <v>39</v>
      </c>
      <c r="C40" s="2" t="s">
        <v>50</v>
      </c>
      <c r="D40" s="3" t="s">
        <v>51</v>
      </c>
      <c r="E40" s="3"/>
      <c r="F40" s="18">
        <v>44622</v>
      </c>
      <c r="G40" s="34">
        <v>46447</v>
      </c>
      <c r="H40" s="34" t="s">
        <v>274</v>
      </c>
      <c r="I40" s="111" t="s">
        <v>52</v>
      </c>
      <c r="J40" s="6" t="s">
        <v>334</v>
      </c>
      <c r="K40" s="2" t="s">
        <v>327</v>
      </c>
      <c r="L40" s="127" t="s">
        <v>328</v>
      </c>
      <c r="M40" s="116" t="s">
        <v>168</v>
      </c>
      <c r="N40" s="43" t="s">
        <v>0</v>
      </c>
      <c r="O40" s="27">
        <v>7850</v>
      </c>
      <c r="P40" s="3" t="s">
        <v>428</v>
      </c>
      <c r="Q40" s="3" t="s">
        <v>428</v>
      </c>
      <c r="R40" s="3" t="s">
        <v>428</v>
      </c>
      <c r="S40" s="138" t="s">
        <v>428</v>
      </c>
      <c r="T40" s="132">
        <f>Table2[[#This Row],[A1toA3_GWP]]+Table2[[#This Row],[C1toC4_GWP]]</f>
        <v>562.53</v>
      </c>
      <c r="U40" s="25">
        <v>474</v>
      </c>
      <c r="V40" s="149">
        <f>2.23+12.7+73.6</f>
        <v>88.53</v>
      </c>
      <c r="W40" s="99">
        <f t="shared" si="0"/>
        <v>1</v>
      </c>
      <c r="X40" s="158" cm="1">
        <f t="array" ref="X40">IF($W40&lt;&gt;0,
IF(AND(
                         T40&gt;=_xlfn.PERCENTILE.INC(_xlfn._xlws.FILTER($T$2:$T$148, ($L$2:$L$148=L40)*($W$2:$W$148=1)),0.1),
                         T40&lt;=_xlfn.PERCENTILE.INC(_xlfn._xlws.FILTER($T$2:$T$148, ($L$2:$L$148=L40)*($W$2:$W$148=1)),0.9)
               ),1,0),
0)</f>
        <v>1</v>
      </c>
      <c r="Y40" s="165"/>
      <c r="Z40" s="2"/>
      <c r="AA40" s="201"/>
      <c r="AB40" s="45"/>
    </row>
    <row r="41" spans="1:28" customFormat="1" x14ac:dyDescent="0.45">
      <c r="A41" s="9" t="s">
        <v>209</v>
      </c>
      <c r="B41" s="104">
        <v>40</v>
      </c>
      <c r="C41" s="2" t="s">
        <v>76</v>
      </c>
      <c r="D41" s="3" t="s">
        <v>55</v>
      </c>
      <c r="E41" s="3"/>
      <c r="F41" s="18">
        <v>40624</v>
      </c>
      <c r="G41" s="34">
        <v>46044</v>
      </c>
      <c r="H41" s="27" t="s">
        <v>302</v>
      </c>
      <c r="I41" s="111" t="s">
        <v>52</v>
      </c>
      <c r="J41" s="6" t="s">
        <v>334</v>
      </c>
      <c r="K41" s="2" t="s">
        <v>327</v>
      </c>
      <c r="L41" s="127" t="s">
        <v>328</v>
      </c>
      <c r="M41" s="116" t="s">
        <v>168</v>
      </c>
      <c r="N41" s="43" t="s">
        <v>0</v>
      </c>
      <c r="O41" s="27">
        <v>7850</v>
      </c>
      <c r="P41" s="3" t="s">
        <v>428</v>
      </c>
      <c r="Q41" s="3" t="s">
        <v>428</v>
      </c>
      <c r="R41" s="3" t="s">
        <v>428</v>
      </c>
      <c r="S41" s="138" t="s">
        <v>428</v>
      </c>
      <c r="T41" s="132">
        <f>Table2[[#This Row],[A1toA3_GWP]]+Table2[[#This Row],[C1toC4_GWP]]</f>
        <v>724.73</v>
      </c>
      <c r="U41" s="25">
        <f>348+119+120</f>
        <v>587</v>
      </c>
      <c r="V41" s="149">
        <f>38.2+24.4+1.93+73.2</f>
        <v>137.73000000000002</v>
      </c>
      <c r="W41" s="99">
        <f t="shared" si="0"/>
        <v>1</v>
      </c>
      <c r="X41" s="158" cm="1">
        <f t="array" ref="X41">IF($W41&lt;&gt;0,
IF(AND(
                         T41&gt;=_xlfn.PERCENTILE.INC(_xlfn._xlws.FILTER($T$2:$T$148, ($L$2:$L$148=L41)*($W$2:$W$148=1)),0.1),
                         T41&lt;=_xlfn.PERCENTILE.INC(_xlfn._xlws.FILTER($T$2:$T$148, ($L$2:$L$148=L41)*($W$2:$W$148=1)),0.9)
               ),1,0),
0)</f>
        <v>1</v>
      </c>
      <c r="Y41" s="165"/>
      <c r="Z41" s="2"/>
      <c r="AA41" s="201"/>
      <c r="AB41" s="45"/>
    </row>
    <row r="42" spans="1:28" customFormat="1" x14ac:dyDescent="0.45">
      <c r="A42" s="9" t="s">
        <v>220</v>
      </c>
      <c r="B42" s="104">
        <v>41</v>
      </c>
      <c r="C42" s="2" t="s">
        <v>57</v>
      </c>
      <c r="D42" s="3" t="s">
        <v>58</v>
      </c>
      <c r="E42" s="3"/>
      <c r="F42" s="18">
        <v>43810</v>
      </c>
      <c r="G42" s="34">
        <v>46012</v>
      </c>
      <c r="H42" s="27" t="s">
        <v>302</v>
      </c>
      <c r="I42" s="111" t="s">
        <v>52</v>
      </c>
      <c r="J42" s="6" t="s">
        <v>334</v>
      </c>
      <c r="K42" s="2" t="s">
        <v>327</v>
      </c>
      <c r="L42" s="127" t="s">
        <v>328</v>
      </c>
      <c r="M42" s="116" t="s">
        <v>168</v>
      </c>
      <c r="N42" s="43" t="s">
        <v>0</v>
      </c>
      <c r="O42" s="27">
        <v>7850</v>
      </c>
      <c r="P42" s="3" t="s">
        <v>428</v>
      </c>
      <c r="Q42" s="3" t="s">
        <v>428</v>
      </c>
      <c r="R42" s="3" t="s">
        <v>428</v>
      </c>
      <c r="S42" s="138" t="s">
        <v>428</v>
      </c>
      <c r="T42" s="132">
        <f>Table2[[#This Row],[A1toA3_GWP]]+Table2[[#This Row],[C1toC4_GWP]]</f>
        <v>715.3</v>
      </c>
      <c r="U42" s="25">
        <f>532.5+40+117</f>
        <v>689.5</v>
      </c>
      <c r="V42" s="149">
        <f>6.4+16.7+1.7+1</f>
        <v>25.8</v>
      </c>
      <c r="W42" s="99">
        <f t="shared" si="0"/>
        <v>1</v>
      </c>
      <c r="X42" s="158" cm="1">
        <f t="array" ref="X42">IF($W42&lt;&gt;0,
IF(AND(
                         T42&gt;=_xlfn.PERCENTILE.INC(_xlfn._xlws.FILTER($T$2:$T$148, ($L$2:$L$148=L42)*($W$2:$W$148=1)),0.1),
                         T42&lt;=_xlfn.PERCENTILE.INC(_xlfn._xlws.FILTER($T$2:$T$148, ($L$2:$L$148=L42)*($W$2:$W$148=1)),0.9)
               ),1,0),
0)</f>
        <v>1</v>
      </c>
      <c r="Y42" s="165"/>
      <c r="Z42" s="2"/>
      <c r="AA42" s="201"/>
      <c r="AB42" s="45"/>
    </row>
    <row r="43" spans="1:28" customFormat="1" x14ac:dyDescent="0.45">
      <c r="A43" s="9" t="s">
        <v>210</v>
      </c>
      <c r="B43" s="104">
        <v>42</v>
      </c>
      <c r="C43" s="2" t="s">
        <v>60</v>
      </c>
      <c r="D43" s="3" t="s">
        <v>59</v>
      </c>
      <c r="E43" s="3"/>
      <c r="F43" s="18">
        <v>45278</v>
      </c>
      <c r="G43" s="34">
        <v>47105</v>
      </c>
      <c r="H43" s="27" t="s">
        <v>301</v>
      </c>
      <c r="I43" s="111" t="s">
        <v>52</v>
      </c>
      <c r="J43" s="6" t="s">
        <v>334</v>
      </c>
      <c r="K43" s="2" t="s">
        <v>327</v>
      </c>
      <c r="L43" s="127" t="s">
        <v>328</v>
      </c>
      <c r="M43" s="116" t="s">
        <v>168</v>
      </c>
      <c r="N43" s="43" t="s">
        <v>0</v>
      </c>
      <c r="O43" s="27">
        <v>7850</v>
      </c>
      <c r="P43" s="3" t="s">
        <v>428</v>
      </c>
      <c r="Q43" s="3" t="s">
        <v>428</v>
      </c>
      <c r="R43" s="3" t="s">
        <v>428</v>
      </c>
      <c r="S43" s="138" t="s">
        <v>428</v>
      </c>
      <c r="T43" s="132">
        <f>Table2[[#This Row],[A1toA3_GWP]]+Table2[[#This Row],[C1toC4_GWP]]</f>
        <v>618.16999999999996</v>
      </c>
      <c r="U43" s="25">
        <v>506</v>
      </c>
      <c r="V43" s="149">
        <f>6.37+16.5+1.6+87.7</f>
        <v>112.17</v>
      </c>
      <c r="W43" s="99">
        <f t="shared" si="0"/>
        <v>1</v>
      </c>
      <c r="X43" s="158" cm="1">
        <f t="array" ref="X43">IF($W43&lt;&gt;0,
IF(AND(
                         T43&gt;=_xlfn.PERCENTILE.INC(_xlfn._xlws.FILTER($T$2:$T$148, ($L$2:$L$148=L43)*($W$2:$W$148=1)),0.1),
                         T43&lt;=_xlfn.PERCENTILE.INC(_xlfn._xlws.FILTER($T$2:$T$148, ($L$2:$L$148=L43)*($W$2:$W$148=1)),0.9)
               ),1,0),
0)</f>
        <v>1</v>
      </c>
      <c r="Y43" s="165"/>
      <c r="Z43" s="2"/>
      <c r="AA43" s="201"/>
      <c r="AB43" s="45"/>
    </row>
    <row r="44" spans="1:28" customFormat="1" x14ac:dyDescent="0.45">
      <c r="A44" s="9" t="s">
        <v>211</v>
      </c>
      <c r="B44" s="104">
        <v>43</v>
      </c>
      <c r="C44" s="2" t="s">
        <v>61</v>
      </c>
      <c r="D44" s="3" t="s">
        <v>62</v>
      </c>
      <c r="E44" s="3"/>
      <c r="F44" s="18">
        <v>42825</v>
      </c>
      <c r="G44" s="34">
        <v>46000</v>
      </c>
      <c r="H44" s="27" t="s">
        <v>302</v>
      </c>
      <c r="I44" s="111" t="s">
        <v>52</v>
      </c>
      <c r="J44" s="6" t="s">
        <v>334</v>
      </c>
      <c r="K44" s="2" t="s">
        <v>327</v>
      </c>
      <c r="L44" s="127" t="s">
        <v>328</v>
      </c>
      <c r="M44" s="116" t="s">
        <v>168</v>
      </c>
      <c r="N44" s="43" t="s">
        <v>0</v>
      </c>
      <c r="O44" s="27">
        <v>7850</v>
      </c>
      <c r="P44" s="3" t="s">
        <v>428</v>
      </c>
      <c r="Q44" s="3" t="s">
        <v>428</v>
      </c>
      <c r="R44" s="3" t="s">
        <v>428</v>
      </c>
      <c r="S44" s="138" t="s">
        <v>428</v>
      </c>
      <c r="T44" s="132">
        <f>Table2[[#This Row],[A1toA3_GWP]]+Table2[[#This Row],[C1toC4_GWP]]</f>
        <v>922.71</v>
      </c>
      <c r="U44" s="25">
        <f>592+40.1+153</f>
        <v>785.1</v>
      </c>
      <c r="V44" s="149">
        <f>38.1+24.4+2.01+73.1</f>
        <v>137.61000000000001</v>
      </c>
      <c r="W44" s="99">
        <f t="shared" si="0"/>
        <v>1</v>
      </c>
      <c r="X44" s="158" cm="1">
        <f t="array" ref="X44">IF($W44&lt;&gt;0,
IF(AND(
                         T44&gt;=_xlfn.PERCENTILE.INC(_xlfn._xlws.FILTER($T$2:$T$148, ($L$2:$L$148=L44)*($W$2:$W$148=1)),0.1),
                         T44&lt;=_xlfn.PERCENTILE.INC(_xlfn._xlws.FILTER($T$2:$T$148, ($L$2:$L$148=L44)*($W$2:$W$148=1)),0.9)
               ),1,0),
0)</f>
        <v>0</v>
      </c>
      <c r="Y44" s="165"/>
      <c r="Z44" s="2"/>
      <c r="AA44" s="201"/>
      <c r="AB44" s="45"/>
    </row>
    <row r="45" spans="1:28" customFormat="1" x14ac:dyDescent="0.45">
      <c r="A45" s="9" t="s">
        <v>212</v>
      </c>
      <c r="B45" s="104">
        <v>44</v>
      </c>
      <c r="C45" s="2" t="s">
        <v>63</v>
      </c>
      <c r="D45" s="3" t="s">
        <v>64</v>
      </c>
      <c r="E45" s="3"/>
      <c r="F45" s="18">
        <v>44770</v>
      </c>
      <c r="G45" s="34">
        <v>46596</v>
      </c>
      <c r="H45" s="27" t="s">
        <v>274</v>
      </c>
      <c r="I45" s="111" t="s">
        <v>52</v>
      </c>
      <c r="J45" s="6" t="s">
        <v>334</v>
      </c>
      <c r="K45" s="2" t="s">
        <v>327</v>
      </c>
      <c r="L45" s="127" t="s">
        <v>328</v>
      </c>
      <c r="M45" s="116" t="s">
        <v>168</v>
      </c>
      <c r="N45" s="43" t="s">
        <v>0</v>
      </c>
      <c r="O45" s="27">
        <v>7850</v>
      </c>
      <c r="P45" s="3" t="s">
        <v>428</v>
      </c>
      <c r="Q45" s="3" t="s">
        <v>428</v>
      </c>
      <c r="R45" s="3" t="s">
        <v>428</v>
      </c>
      <c r="S45" s="138" t="s">
        <v>428</v>
      </c>
      <c r="T45" s="132">
        <f>Table2[[#This Row],[A1toA3_GWP]]+Table2[[#This Row],[C1toC4_GWP]]</f>
        <v>632.27200000000005</v>
      </c>
      <c r="U45" s="25">
        <f>81.9+22.3+521</f>
        <v>625.20000000000005</v>
      </c>
      <c r="V45" s="149">
        <f>6.57+0.197+0.305</f>
        <v>7.0720000000000001</v>
      </c>
      <c r="W45" s="99">
        <f t="shared" si="0"/>
        <v>1</v>
      </c>
      <c r="X45" s="158" cm="1">
        <f t="array" ref="X45">IF($W45&lt;&gt;0,
IF(AND(
                         T45&gt;=_xlfn.PERCENTILE.INC(_xlfn._xlws.FILTER($T$2:$T$148, ($L$2:$L$148=L45)*($W$2:$W$148=1)),0.1),
                         T45&lt;=_xlfn.PERCENTILE.INC(_xlfn._xlws.FILTER($T$2:$T$148, ($L$2:$L$148=L45)*($W$2:$W$148=1)),0.9)
               ),1,0),
0)</f>
        <v>1</v>
      </c>
      <c r="Y45" s="165"/>
      <c r="Z45" s="2"/>
      <c r="AA45" s="201"/>
      <c r="AB45" s="45"/>
    </row>
    <row r="46" spans="1:28" customFormat="1" x14ac:dyDescent="0.45">
      <c r="A46" s="9" t="s">
        <v>214</v>
      </c>
      <c r="B46" s="104">
        <v>45</v>
      </c>
      <c r="C46" s="2" t="s">
        <v>65</v>
      </c>
      <c r="D46" s="3" t="s">
        <v>67</v>
      </c>
      <c r="E46" s="3"/>
      <c r="F46" s="18">
        <v>41025</v>
      </c>
      <c r="G46" s="34">
        <v>45556</v>
      </c>
      <c r="H46" s="27" t="s">
        <v>303</v>
      </c>
      <c r="I46" s="111" t="s">
        <v>52</v>
      </c>
      <c r="J46" s="6" t="s">
        <v>334</v>
      </c>
      <c r="K46" s="2" t="s">
        <v>327</v>
      </c>
      <c r="L46" s="127" t="s">
        <v>328</v>
      </c>
      <c r="M46" s="116" t="s">
        <v>168</v>
      </c>
      <c r="N46" s="43" t="s">
        <v>0</v>
      </c>
      <c r="O46" s="27">
        <v>7850</v>
      </c>
      <c r="P46" s="3" t="s">
        <v>428</v>
      </c>
      <c r="Q46" s="3" t="s">
        <v>428</v>
      </c>
      <c r="R46" s="3" t="s">
        <v>428</v>
      </c>
      <c r="S46" s="138" t="s">
        <v>428</v>
      </c>
      <c r="T46" s="132">
        <f>Table2[[#This Row],[A1toA3_GWP]]+Table2[[#This Row],[C1toC4_GWP]]</f>
        <v>367.12099999999998</v>
      </c>
      <c r="U46" s="25">
        <v>358</v>
      </c>
      <c r="V46" s="149">
        <f>0.351+8.77</f>
        <v>9.1209999999999987</v>
      </c>
      <c r="W46" s="99">
        <f t="shared" si="0"/>
        <v>1</v>
      </c>
      <c r="X46" s="158" cm="1">
        <f t="array" ref="X46">IF($W46&lt;&gt;0,
IF(AND(
                         T46&gt;=_xlfn.PERCENTILE.INC(_xlfn._xlws.FILTER($T$2:$T$148, ($L$2:$L$148=L46)*($W$2:$W$148=1)),0.1),
                         T46&lt;=_xlfn.PERCENTILE.INC(_xlfn._xlws.FILTER($T$2:$T$148, ($L$2:$L$148=L46)*($W$2:$W$148=1)),0.9)
               ),1,0),
0)</f>
        <v>0</v>
      </c>
      <c r="Y46" s="165"/>
      <c r="Z46" s="2"/>
      <c r="AA46" s="201"/>
      <c r="AB46" s="45"/>
    </row>
    <row r="47" spans="1:28" customFormat="1" x14ac:dyDescent="0.45">
      <c r="A47" s="9" t="s">
        <v>215</v>
      </c>
      <c r="B47" s="104">
        <v>46</v>
      </c>
      <c r="C47" s="2" t="s">
        <v>68</v>
      </c>
      <c r="D47" s="3" t="s">
        <v>69</v>
      </c>
      <c r="E47" s="3"/>
      <c r="F47" s="18">
        <v>44896</v>
      </c>
      <c r="G47" s="34">
        <v>46714</v>
      </c>
      <c r="H47" s="27" t="s">
        <v>70</v>
      </c>
      <c r="I47" s="111" t="s">
        <v>52</v>
      </c>
      <c r="J47" s="6" t="s">
        <v>334</v>
      </c>
      <c r="K47" s="2" t="s">
        <v>327</v>
      </c>
      <c r="L47" s="127" t="s">
        <v>328</v>
      </c>
      <c r="M47" s="116" t="s">
        <v>168</v>
      </c>
      <c r="N47" s="43" t="s">
        <v>0</v>
      </c>
      <c r="O47" s="27">
        <v>7850</v>
      </c>
      <c r="P47" s="3" t="s">
        <v>428</v>
      </c>
      <c r="Q47" s="3" t="s">
        <v>428</v>
      </c>
      <c r="R47" s="3" t="s">
        <v>428</v>
      </c>
      <c r="S47" s="138" t="s">
        <v>428</v>
      </c>
      <c r="T47" s="132">
        <f>Table2[[#This Row],[A1toA3_GWP]]+Table2[[#This Row],[C1toC4_GWP]]</f>
        <v>461.08</v>
      </c>
      <c r="U47" s="84">
        <v>330</v>
      </c>
      <c r="V47" s="149">
        <f>57.3+19.6+1.38+52.8</f>
        <v>131.07999999999998</v>
      </c>
      <c r="W47" s="99">
        <f t="shared" si="0"/>
        <v>1</v>
      </c>
      <c r="X47" s="158" cm="1">
        <f t="array" ref="X47">IF($W47&lt;&gt;0,
IF(AND(
                         T47&gt;=_xlfn.PERCENTILE.INC(_xlfn._xlws.FILTER($T$2:$T$148, ($L$2:$L$148=L47)*($W$2:$W$148=1)),0.1),
                         T47&lt;=_xlfn.PERCENTILE.INC(_xlfn._xlws.FILTER($T$2:$T$148, ($L$2:$L$148=L47)*($W$2:$W$148=1)),0.9)
               ),1,0),
0)</f>
        <v>1</v>
      </c>
      <c r="Y47" s="165"/>
      <c r="Z47" s="2"/>
      <c r="AA47" s="201"/>
      <c r="AB47" s="45"/>
    </row>
    <row r="48" spans="1:28" customFormat="1" x14ac:dyDescent="0.45">
      <c r="A48" s="9" t="s">
        <v>216</v>
      </c>
      <c r="B48" s="104">
        <v>47</v>
      </c>
      <c r="C48" s="2" t="s">
        <v>72</v>
      </c>
      <c r="D48" s="3" t="s">
        <v>71</v>
      </c>
      <c r="E48" s="3"/>
      <c r="F48" s="18">
        <v>45016</v>
      </c>
      <c r="G48" s="34">
        <v>46840</v>
      </c>
      <c r="H48" s="27" t="s">
        <v>179</v>
      </c>
      <c r="I48" s="111" t="s">
        <v>52</v>
      </c>
      <c r="J48" s="6" t="s">
        <v>334</v>
      </c>
      <c r="K48" s="2" t="s">
        <v>327</v>
      </c>
      <c r="L48" s="127" t="s">
        <v>328</v>
      </c>
      <c r="M48" s="116" t="s">
        <v>168</v>
      </c>
      <c r="N48" s="43" t="s">
        <v>0</v>
      </c>
      <c r="O48" s="27">
        <v>7850</v>
      </c>
      <c r="P48" s="3" t="s">
        <v>428</v>
      </c>
      <c r="Q48" s="3" t="s">
        <v>428</v>
      </c>
      <c r="R48" s="3" t="s">
        <v>428</v>
      </c>
      <c r="S48" s="138" t="s">
        <v>428</v>
      </c>
      <c r="T48" s="132">
        <f>Table2[[#This Row],[A1toA3_GWP]]+Table2[[#This Row],[C1toC4_GWP]]</f>
        <v>544.25</v>
      </c>
      <c r="U48" s="25">
        <v>413</v>
      </c>
      <c r="V48" s="149">
        <f>57.3+19.6+1.55+52.8</f>
        <v>131.25</v>
      </c>
      <c r="W48" s="99">
        <f t="shared" si="0"/>
        <v>1</v>
      </c>
      <c r="X48" s="158" cm="1">
        <f t="array" ref="X48">IF($W48&lt;&gt;0,
IF(AND(
                         T48&gt;=_xlfn.PERCENTILE.INC(_xlfn._xlws.FILTER($T$2:$T$148, ($L$2:$L$148=L48)*($W$2:$W$148=1)),0.1),
                         T48&lt;=_xlfn.PERCENTILE.INC(_xlfn._xlws.FILTER($T$2:$T$148, ($L$2:$L$148=L48)*($W$2:$W$148=1)),0.9)
               ),1,0),
0)</f>
        <v>1</v>
      </c>
      <c r="Y48" s="165"/>
      <c r="Z48" s="2"/>
      <c r="AA48" s="201"/>
      <c r="AB48" s="45"/>
    </row>
    <row r="49" spans="1:28" customFormat="1" x14ac:dyDescent="0.45">
      <c r="A49" s="9" t="s">
        <v>217</v>
      </c>
      <c r="B49" s="104">
        <v>48</v>
      </c>
      <c r="C49" s="2" t="s">
        <v>73</v>
      </c>
      <c r="D49" s="3" t="s">
        <v>74</v>
      </c>
      <c r="E49" s="3"/>
      <c r="F49" s="18">
        <v>45097</v>
      </c>
      <c r="G49" s="34">
        <v>46924</v>
      </c>
      <c r="H49" s="27" t="s">
        <v>274</v>
      </c>
      <c r="I49" s="111" t="s">
        <v>52</v>
      </c>
      <c r="J49" s="6" t="s">
        <v>334</v>
      </c>
      <c r="K49" s="2" t="s">
        <v>327</v>
      </c>
      <c r="L49" s="127" t="s">
        <v>328</v>
      </c>
      <c r="M49" s="116" t="s">
        <v>168</v>
      </c>
      <c r="N49" s="43" t="s">
        <v>0</v>
      </c>
      <c r="O49" s="27">
        <v>7850</v>
      </c>
      <c r="P49" s="3" t="s">
        <v>428</v>
      </c>
      <c r="Q49" s="3" t="s">
        <v>428</v>
      </c>
      <c r="R49" s="3" t="s">
        <v>428</v>
      </c>
      <c r="S49" s="138" t="s">
        <v>428</v>
      </c>
      <c r="T49" s="132">
        <f>Table2[[#This Row],[A1toA3_GWP]]+Table2[[#This Row],[C1toC4_GWP]]</f>
        <v>606.36399999999992</v>
      </c>
      <c r="U49" s="25">
        <f>56.4+18.4+524</f>
        <v>598.79999999999995</v>
      </c>
      <c r="V49" s="149">
        <f>7.12+0.149+0.295</f>
        <v>7.5640000000000001</v>
      </c>
      <c r="W49" s="99">
        <f t="shared" si="0"/>
        <v>1</v>
      </c>
      <c r="X49" s="158" cm="1">
        <f t="array" ref="X49">IF($W49&lt;&gt;0,
IF(AND(
                         T49&gt;=_xlfn.PERCENTILE.INC(_xlfn._xlws.FILTER($T$2:$T$148, ($L$2:$L$148=L49)*($W$2:$W$148=1)),0.1),
                         T49&lt;=_xlfn.PERCENTILE.INC(_xlfn._xlws.FILTER($T$2:$T$148, ($L$2:$L$148=L49)*($W$2:$W$148=1)),0.9)
               ),1,0),
0)</f>
        <v>1</v>
      </c>
      <c r="Y49" s="165"/>
      <c r="Z49" s="2"/>
      <c r="AA49" s="201"/>
      <c r="AB49" s="45"/>
    </row>
    <row r="50" spans="1:28" customFormat="1" x14ac:dyDescent="0.45">
      <c r="A50" s="9" t="s">
        <v>218</v>
      </c>
      <c r="B50" s="104">
        <v>49</v>
      </c>
      <c r="C50" s="2" t="s">
        <v>75</v>
      </c>
      <c r="D50" s="3" t="s">
        <v>74</v>
      </c>
      <c r="E50" s="3"/>
      <c r="F50" s="18">
        <v>45097</v>
      </c>
      <c r="G50" s="34">
        <v>46924</v>
      </c>
      <c r="H50" s="27" t="s">
        <v>274</v>
      </c>
      <c r="I50" s="111" t="s">
        <v>52</v>
      </c>
      <c r="J50" s="6" t="s">
        <v>334</v>
      </c>
      <c r="K50" s="2" t="s">
        <v>327</v>
      </c>
      <c r="L50" s="127" t="s">
        <v>328</v>
      </c>
      <c r="M50" s="116" t="s">
        <v>168</v>
      </c>
      <c r="N50" s="43" t="s">
        <v>0</v>
      </c>
      <c r="O50" s="27">
        <v>7850</v>
      </c>
      <c r="P50" s="3" t="s">
        <v>428</v>
      </c>
      <c r="Q50" s="3" t="s">
        <v>428</v>
      </c>
      <c r="R50" s="3" t="s">
        <v>428</v>
      </c>
      <c r="S50" s="138" t="s">
        <v>428</v>
      </c>
      <c r="T50" s="132">
        <f>Table2[[#This Row],[A1toA3_GWP]]+Table2[[#This Row],[C1toC4_GWP]]</f>
        <v>600.49</v>
      </c>
      <c r="U50" s="25">
        <f>55.8+18.2+519</f>
        <v>593</v>
      </c>
      <c r="V50" s="149">
        <f>7.05+0.148+0.292</f>
        <v>7.4899999999999993</v>
      </c>
      <c r="W50" s="99">
        <f t="shared" si="0"/>
        <v>1</v>
      </c>
      <c r="X50" s="158" cm="1">
        <f t="array" ref="X50">IF($W50&lt;&gt;0,
IF(AND(
                         T50&gt;=_xlfn.PERCENTILE.INC(_xlfn._xlws.FILTER($T$2:$T$148, ($L$2:$L$148=L50)*($W$2:$W$148=1)),0.1),
                         T50&lt;=_xlfn.PERCENTILE.INC(_xlfn._xlws.FILTER($T$2:$T$148, ($L$2:$L$148=L50)*($W$2:$W$148=1)),0.9)
               ),1,0),
0)</f>
        <v>1</v>
      </c>
      <c r="Y50" s="165"/>
      <c r="Z50" s="2"/>
      <c r="AA50" s="201"/>
      <c r="AB50" s="45"/>
    </row>
    <row r="51" spans="1:28" customFormat="1" x14ac:dyDescent="0.45">
      <c r="A51" s="9" t="s">
        <v>223</v>
      </c>
      <c r="B51" s="104">
        <v>50</v>
      </c>
      <c r="C51" s="2" t="s">
        <v>77</v>
      </c>
      <c r="D51" s="3" t="s">
        <v>78</v>
      </c>
      <c r="E51" s="3"/>
      <c r="F51" s="18">
        <v>44588</v>
      </c>
      <c r="G51" s="34">
        <v>46414</v>
      </c>
      <c r="H51" s="27" t="s">
        <v>301</v>
      </c>
      <c r="I51" s="111" t="s">
        <v>52</v>
      </c>
      <c r="J51" s="6" t="s">
        <v>334</v>
      </c>
      <c r="K51" s="2" t="s">
        <v>327</v>
      </c>
      <c r="L51" s="127" t="s">
        <v>328</v>
      </c>
      <c r="M51" s="116" t="s">
        <v>168</v>
      </c>
      <c r="N51" s="43" t="s">
        <v>0</v>
      </c>
      <c r="O51" s="27">
        <v>7850</v>
      </c>
      <c r="P51" s="3" t="s">
        <v>428</v>
      </c>
      <c r="Q51" s="3" t="s">
        <v>428</v>
      </c>
      <c r="R51" s="3" t="s">
        <v>428</v>
      </c>
      <c r="S51" s="138" t="s">
        <v>428</v>
      </c>
      <c r="T51" s="132">
        <f>Table2[[#This Row],[A1toA3_GWP]]+Table2[[#This Row],[C1toC4_GWP]]</f>
        <v>418.73599999999999</v>
      </c>
      <c r="U51" s="25">
        <f>52.9+24.3+333</f>
        <v>410.2</v>
      </c>
      <c r="V51" s="149">
        <f>8.23+0.306</f>
        <v>8.5359999999999996</v>
      </c>
      <c r="W51" s="99">
        <f t="shared" si="0"/>
        <v>1</v>
      </c>
      <c r="X51" s="158" cm="1">
        <f t="array" ref="X51">IF($W51&lt;&gt;0,
IF(AND(
                         T51&gt;=_xlfn.PERCENTILE.INC(_xlfn._xlws.FILTER($T$2:$T$148, ($L$2:$L$148=L51)*($W$2:$W$148=1)),0.1),
                         T51&lt;=_xlfn.PERCENTILE.INC(_xlfn._xlws.FILTER($T$2:$T$148, ($L$2:$L$148=L51)*($W$2:$W$148=1)),0.9)
               ),1,0),
0)</f>
        <v>1</v>
      </c>
      <c r="Y51" s="165"/>
      <c r="Z51" s="2"/>
      <c r="AA51" s="201"/>
      <c r="AB51" s="45"/>
    </row>
    <row r="52" spans="1:28" customFormat="1" x14ac:dyDescent="0.45">
      <c r="A52" s="9" t="s">
        <v>221</v>
      </c>
      <c r="B52" s="104">
        <v>51</v>
      </c>
      <c r="C52" s="2" t="s">
        <v>79</v>
      </c>
      <c r="D52" s="3" t="s">
        <v>80</v>
      </c>
      <c r="E52" s="3"/>
      <c r="F52" s="18">
        <v>44306</v>
      </c>
      <c r="G52" s="34">
        <v>46131</v>
      </c>
      <c r="H52" s="27" t="s">
        <v>274</v>
      </c>
      <c r="I52" s="111" t="s">
        <v>52</v>
      </c>
      <c r="J52" s="6" t="s">
        <v>334</v>
      </c>
      <c r="K52" s="2" t="s">
        <v>327</v>
      </c>
      <c r="L52" s="127" t="s">
        <v>328</v>
      </c>
      <c r="M52" s="116" t="s">
        <v>168</v>
      </c>
      <c r="N52" s="43" t="s">
        <v>0</v>
      </c>
      <c r="O52" s="27">
        <v>7850</v>
      </c>
      <c r="P52" s="3" t="s">
        <v>428</v>
      </c>
      <c r="Q52" s="3" t="s">
        <v>428</v>
      </c>
      <c r="R52" s="3" t="s">
        <v>428</v>
      </c>
      <c r="S52" s="138" t="s">
        <v>428</v>
      </c>
      <c r="T52" s="132">
        <f>Table2[[#This Row],[A1toA3_GWP]]+Table2[[#This Row],[C1toC4_GWP]]</f>
        <v>468.90499999999997</v>
      </c>
      <c r="U52" s="25">
        <f>79.5+38+343</f>
        <v>460.5</v>
      </c>
      <c r="V52" s="149">
        <f>8.09+0+0.315</f>
        <v>8.4049999999999994</v>
      </c>
      <c r="W52" s="99">
        <f t="shared" si="0"/>
        <v>1</v>
      </c>
      <c r="X52" s="158" cm="1">
        <f t="array" ref="X52">IF($W52&lt;&gt;0,
IF(AND(
                         T52&gt;=_xlfn.PERCENTILE.INC(_xlfn._xlws.FILTER($T$2:$T$148, ($L$2:$L$148=L52)*($W$2:$W$148=1)),0.1),
                         T52&lt;=_xlfn.PERCENTILE.INC(_xlfn._xlws.FILTER($T$2:$T$148, ($L$2:$L$148=L52)*($W$2:$W$148=1)),0.9)
               ),1,0),
0)</f>
        <v>1</v>
      </c>
      <c r="Y52" s="165"/>
      <c r="Z52" s="2"/>
      <c r="AA52" s="201"/>
      <c r="AB52" s="45"/>
    </row>
    <row r="53" spans="1:28" customFormat="1" x14ac:dyDescent="0.45">
      <c r="A53" s="9" t="s">
        <v>222</v>
      </c>
      <c r="B53" s="104">
        <v>52</v>
      </c>
      <c r="C53" s="6" t="s">
        <v>81</v>
      </c>
      <c r="D53" s="3" t="s">
        <v>82</v>
      </c>
      <c r="E53" s="3"/>
      <c r="F53" s="18">
        <v>43803</v>
      </c>
      <c r="G53" s="34">
        <v>46150</v>
      </c>
      <c r="H53" s="27" t="s">
        <v>301</v>
      </c>
      <c r="I53" s="111" t="s">
        <v>52</v>
      </c>
      <c r="J53" s="6" t="s">
        <v>334</v>
      </c>
      <c r="K53" s="2" t="s">
        <v>327</v>
      </c>
      <c r="L53" s="127" t="s">
        <v>328</v>
      </c>
      <c r="M53" s="116" t="s">
        <v>168</v>
      </c>
      <c r="N53" s="43" t="s">
        <v>0</v>
      </c>
      <c r="O53" s="27">
        <v>7850</v>
      </c>
      <c r="P53" s="3" t="s">
        <v>428</v>
      </c>
      <c r="Q53" s="3" t="s">
        <v>428</v>
      </c>
      <c r="R53" s="3" t="s">
        <v>428</v>
      </c>
      <c r="S53" s="138" t="s">
        <v>428</v>
      </c>
      <c r="T53" s="132">
        <f>Table2[[#This Row],[A1toA3_GWP]]+Table2[[#This Row],[C1toC4_GWP]]</f>
        <v>352.93</v>
      </c>
      <c r="U53" s="84">
        <v>309</v>
      </c>
      <c r="V53" s="149">
        <f>2.15+40.6+1.18</f>
        <v>43.93</v>
      </c>
      <c r="W53" s="99">
        <f t="shared" si="0"/>
        <v>1</v>
      </c>
      <c r="X53" s="158" cm="1">
        <f t="array" ref="X53">IF($W53&lt;&gt;0,
IF(AND(
                         T53&gt;=_xlfn.PERCENTILE.INC(_xlfn._xlws.FILTER($T$2:$T$148, ($L$2:$L$148=L53)*($W$2:$W$148=1)),0.1),
                         T53&lt;=_xlfn.PERCENTILE.INC(_xlfn._xlws.FILTER($T$2:$T$148, ($L$2:$L$148=L53)*($W$2:$W$148=1)),0.9)
               ),1,0),
0)</f>
        <v>0</v>
      </c>
      <c r="Y53" s="165"/>
      <c r="Z53" s="2"/>
      <c r="AA53" s="201"/>
      <c r="AB53" s="45"/>
    </row>
    <row r="54" spans="1:28" customFormat="1" x14ac:dyDescent="0.45">
      <c r="A54" s="9" t="s">
        <v>219</v>
      </c>
      <c r="B54" s="104">
        <v>53</v>
      </c>
      <c r="C54" s="6" t="s">
        <v>83</v>
      </c>
      <c r="D54" s="3" t="s">
        <v>84</v>
      </c>
      <c r="E54" s="3"/>
      <c r="F54" s="18">
        <v>43759</v>
      </c>
      <c r="G54" s="34">
        <v>46150</v>
      </c>
      <c r="H54" s="27" t="s">
        <v>179</v>
      </c>
      <c r="I54" s="111" t="s">
        <v>52</v>
      </c>
      <c r="J54" s="6" t="s">
        <v>334</v>
      </c>
      <c r="K54" s="2" t="s">
        <v>327</v>
      </c>
      <c r="L54" s="127" t="s">
        <v>328</v>
      </c>
      <c r="M54" s="116" t="s">
        <v>168</v>
      </c>
      <c r="N54" s="43" t="s">
        <v>0</v>
      </c>
      <c r="O54" s="27">
        <v>7850</v>
      </c>
      <c r="P54" s="3" t="s">
        <v>428</v>
      </c>
      <c r="Q54" s="3" t="s">
        <v>428</v>
      </c>
      <c r="R54" s="3" t="s">
        <v>428</v>
      </c>
      <c r="S54" s="138" t="s">
        <v>428</v>
      </c>
      <c r="T54" s="132">
        <f>Table2[[#This Row],[A1toA3_GWP]]+Table2[[#This Row],[C1toC4_GWP]]</f>
        <v>658.93</v>
      </c>
      <c r="U54" s="84">
        <v>615</v>
      </c>
      <c r="V54" s="149">
        <f>2.15+40.6+1.18</f>
        <v>43.93</v>
      </c>
      <c r="W54" s="99">
        <f t="shared" si="0"/>
        <v>1</v>
      </c>
      <c r="X54" s="158" cm="1">
        <f t="array" ref="X54">IF($W54&lt;&gt;0,
IF(AND(
                         T54&gt;=_xlfn.PERCENTILE.INC(_xlfn._xlws.FILTER($T$2:$T$148, ($L$2:$L$148=L54)*($W$2:$W$148=1)),0.1),
                         T54&lt;=_xlfn.PERCENTILE.INC(_xlfn._xlws.FILTER($T$2:$T$148, ($L$2:$L$148=L54)*($W$2:$W$148=1)),0.9)
               ),1,0),
0)</f>
        <v>1</v>
      </c>
      <c r="Y54" s="165"/>
      <c r="Z54" s="2"/>
      <c r="AA54" s="201"/>
      <c r="AB54" s="45"/>
    </row>
    <row r="55" spans="1:28" customFormat="1" ht="14.65" thickBot="1" x14ac:dyDescent="0.5">
      <c r="A55" s="10" t="s">
        <v>224</v>
      </c>
      <c r="B55" s="105">
        <v>54</v>
      </c>
      <c r="C55" s="7" t="s">
        <v>225</v>
      </c>
      <c r="D55" s="5" t="s">
        <v>226</v>
      </c>
      <c r="E55" s="5"/>
      <c r="F55" s="15">
        <v>43420</v>
      </c>
      <c r="G55" s="35">
        <v>45245</v>
      </c>
      <c r="H55" s="30" t="s">
        <v>302</v>
      </c>
      <c r="I55" s="114" t="s">
        <v>52</v>
      </c>
      <c r="J55" s="7" t="s">
        <v>334</v>
      </c>
      <c r="K55" s="4" t="s">
        <v>327</v>
      </c>
      <c r="L55" s="128" t="s">
        <v>328</v>
      </c>
      <c r="M55" s="119" t="s">
        <v>168</v>
      </c>
      <c r="N55" s="44" t="s">
        <v>0</v>
      </c>
      <c r="O55" s="30">
        <v>7850</v>
      </c>
      <c r="P55" s="5" t="s">
        <v>428</v>
      </c>
      <c r="Q55" s="5" t="s">
        <v>428</v>
      </c>
      <c r="R55" s="5" t="s">
        <v>428</v>
      </c>
      <c r="S55" s="141" t="s">
        <v>428</v>
      </c>
      <c r="T55" s="85">
        <f>SUM(Table2[[#This Row],[A1toA3_GWP]:[C1toC4_GWP]])+V41</f>
        <v>664.73</v>
      </c>
      <c r="U55" s="86">
        <f>403+39+85</f>
        <v>527</v>
      </c>
      <c r="V55" s="152" t="s">
        <v>168</v>
      </c>
      <c r="W55" s="144">
        <f t="shared" si="0"/>
        <v>1</v>
      </c>
      <c r="X55" s="159" cm="1">
        <f t="array" ref="X55">IF($W55&lt;&gt;0,
IF(AND(
                         T55&gt;=_xlfn.PERCENTILE.INC(_xlfn._xlws.FILTER($T$2:$T$148, ($L$2:$L$148=L55)*($W$2:$W$148=1)),0.1),
                         T55&lt;=_xlfn.PERCENTILE.INC(_xlfn._xlws.FILTER($T$2:$T$148, ($L$2:$L$148=L55)*($W$2:$W$148=1)),0.9)
               ),1,0),
0)</f>
        <v>1</v>
      </c>
      <c r="Y55" s="168"/>
      <c r="Z55" s="4"/>
      <c r="AA55" s="201"/>
      <c r="AB55" s="45"/>
    </row>
    <row r="56" spans="1:28" s="11" customFormat="1" x14ac:dyDescent="0.45">
      <c r="A56" s="98" t="s">
        <v>363</v>
      </c>
      <c r="B56" s="102">
        <v>55</v>
      </c>
      <c r="C56" s="20" t="s">
        <v>149</v>
      </c>
      <c r="D56" s="13" t="s">
        <v>11</v>
      </c>
      <c r="E56" s="13"/>
      <c r="F56" s="18" t="s">
        <v>168</v>
      </c>
      <c r="G56" s="36" t="s">
        <v>168</v>
      </c>
      <c r="H56" s="26" t="s">
        <v>53</v>
      </c>
      <c r="I56" s="109" t="s">
        <v>150</v>
      </c>
      <c r="J56" s="20" t="s">
        <v>337</v>
      </c>
      <c r="K56" s="12" t="s">
        <v>324</v>
      </c>
      <c r="L56" s="122" t="s">
        <v>330</v>
      </c>
      <c r="M56" s="120" t="s">
        <v>168</v>
      </c>
      <c r="N56" s="26" t="s">
        <v>1</v>
      </c>
      <c r="O56" s="31">
        <v>440</v>
      </c>
      <c r="P56" s="13" t="s">
        <v>428</v>
      </c>
      <c r="Q56" s="13" t="s">
        <v>428</v>
      </c>
      <c r="R56" s="13" t="s">
        <v>428</v>
      </c>
      <c r="S56" s="136" t="s">
        <v>428</v>
      </c>
      <c r="T56" s="52">
        <f>SUM(Table2[[#This Row],[A1toA3_GWP]:[C1toC4_GWP]])</f>
        <v>275</v>
      </c>
      <c r="U56" s="87">
        <f>85.8/Table2[[#This Row],[DENSITY]]*1000</f>
        <v>195</v>
      </c>
      <c r="V56" s="147">
        <v>80</v>
      </c>
      <c r="W56" s="52">
        <f t="shared" si="0"/>
        <v>0</v>
      </c>
      <c r="X56" s="156" cm="1">
        <f t="array" ref="X56">IF($W56&lt;&gt;0,
IF(AND(
                         T56&gt;=_xlfn.PERCENTILE.INC(_xlfn._xlws.FILTER($T$2:$T$148, ($K$2:$K$148=K56)*($W$2:$W$148=1)),0.1),
                         T56&lt;=_xlfn.PERCENTILE.INC(_xlfn._xlws.FILTER($T$2:$T$148, ($K$3:$K$149=K56)*($W$2:$W$148=1)),0.9)
               ),1,0),
0)</f>
        <v>0</v>
      </c>
      <c r="Y56" s="163"/>
      <c r="Z56" s="12"/>
      <c r="AA56" s="201"/>
      <c r="AB56" s="45"/>
    </row>
    <row r="57" spans="1:28" s="11" customFormat="1" x14ac:dyDescent="0.45">
      <c r="A57" s="98" t="s">
        <v>364</v>
      </c>
      <c r="B57" s="102">
        <v>56</v>
      </c>
      <c r="C57" s="20" t="s">
        <v>152</v>
      </c>
      <c r="D57" s="13" t="s">
        <v>11</v>
      </c>
      <c r="E57" s="13"/>
      <c r="F57" s="18" t="s">
        <v>168</v>
      </c>
      <c r="G57" s="36" t="s">
        <v>168</v>
      </c>
      <c r="H57" s="26" t="s">
        <v>53</v>
      </c>
      <c r="I57" s="109" t="s">
        <v>151</v>
      </c>
      <c r="J57" s="20" t="s">
        <v>337</v>
      </c>
      <c r="K57" s="12" t="s">
        <v>324</v>
      </c>
      <c r="L57" s="122" t="s">
        <v>330</v>
      </c>
      <c r="M57" s="120" t="s">
        <v>168</v>
      </c>
      <c r="N57" s="26" t="s">
        <v>1</v>
      </c>
      <c r="O57" s="31">
        <v>440</v>
      </c>
      <c r="P57" s="13" t="s">
        <v>428</v>
      </c>
      <c r="Q57" s="13" t="s">
        <v>428</v>
      </c>
      <c r="R57" s="13" t="s">
        <v>428</v>
      </c>
      <c r="S57" s="136" t="s">
        <v>428</v>
      </c>
      <c r="T57" s="52">
        <f>SUM(Table2[[#This Row],[A1toA3_GWP]:[C1toC4_GWP]])</f>
        <v>279.31818181818181</v>
      </c>
      <c r="U57" s="23">
        <f>87.7/Table2[[#This Row],[DENSITY]]*1000</f>
        <v>199.31818181818181</v>
      </c>
      <c r="V57" s="147">
        <v>80</v>
      </c>
      <c r="W57" s="52">
        <f t="shared" si="0"/>
        <v>0</v>
      </c>
      <c r="X57" s="156" cm="1">
        <f t="array" ref="X57">IF($W57&lt;&gt;0,
IF(AND(
                         T57&gt;=_xlfn.PERCENTILE.INC(_xlfn._xlws.FILTER($T$2:$T$148, ($K$2:$K$148=K57)*($W$2:$W$148=1)),0.1),
                         T57&lt;=_xlfn.PERCENTILE.INC(_xlfn._xlws.FILTER($T$2:$T$148, ($K$3:$K$149=K57)*($W$2:$W$148=1)),0.9)
               ),1,0),
0)</f>
        <v>0</v>
      </c>
      <c r="Y57" s="163"/>
      <c r="Z57" s="12"/>
      <c r="AA57" s="201"/>
      <c r="AB57" s="45"/>
    </row>
    <row r="58" spans="1:28" s="11" customFormat="1" x14ac:dyDescent="0.45">
      <c r="A58" s="98" t="s">
        <v>365</v>
      </c>
      <c r="B58" s="102">
        <v>57</v>
      </c>
      <c r="C58" s="20" t="s">
        <v>153</v>
      </c>
      <c r="D58" s="13" t="s">
        <v>11</v>
      </c>
      <c r="E58" s="13"/>
      <c r="F58" s="18" t="s">
        <v>168</v>
      </c>
      <c r="G58" s="36" t="s">
        <v>168</v>
      </c>
      <c r="H58" s="26" t="s">
        <v>154</v>
      </c>
      <c r="I58" s="109" t="s">
        <v>104</v>
      </c>
      <c r="J58" s="20" t="s">
        <v>337</v>
      </c>
      <c r="K58" s="12" t="s">
        <v>324</v>
      </c>
      <c r="L58" s="122" t="s">
        <v>330</v>
      </c>
      <c r="M58" s="120" t="s">
        <v>168</v>
      </c>
      <c r="N58" s="26" t="s">
        <v>1</v>
      </c>
      <c r="O58" s="31">
        <v>440</v>
      </c>
      <c r="P58" s="13" t="s">
        <v>428</v>
      </c>
      <c r="Q58" s="13" t="s">
        <v>428</v>
      </c>
      <c r="R58" s="13" t="s">
        <v>428</v>
      </c>
      <c r="S58" s="136" t="s">
        <v>428</v>
      </c>
      <c r="T58" s="52">
        <f>SUM(Table2[[#This Row],[A1toA3_GWP]:[C1toC4_GWP]])</f>
        <v>400.45454545454544</v>
      </c>
      <c r="U58" s="23">
        <f>141/Table2[[#This Row],[DENSITY]]*1000</f>
        <v>320.45454545454544</v>
      </c>
      <c r="V58" s="147">
        <v>80</v>
      </c>
      <c r="W58" s="52">
        <f t="shared" si="0"/>
        <v>0</v>
      </c>
      <c r="X58" s="156" cm="1">
        <f t="array" ref="X58">IF($W58&lt;&gt;0,
IF(AND(
                         T58&gt;=_xlfn.PERCENTILE.INC(_xlfn._xlws.FILTER($T$2:$T$148, ($K$2:$K$148=K58)*($W$2:$W$148=1)),0.1),
                         T58&lt;=_xlfn.PERCENTILE.INC(_xlfn._xlws.FILTER($T$2:$T$148, ($K$3:$K$149=K58)*($W$2:$W$148=1)),0.9)
               ),1,0),
0)</f>
        <v>0</v>
      </c>
      <c r="Y58" s="163"/>
      <c r="Z58" s="12"/>
      <c r="AA58" s="201"/>
      <c r="AB58" s="45"/>
    </row>
    <row r="59" spans="1:28" s="11" customFormat="1" x14ac:dyDescent="0.45">
      <c r="A59" s="98" t="s">
        <v>366</v>
      </c>
      <c r="B59" s="102">
        <v>58</v>
      </c>
      <c r="C59" s="20" t="s">
        <v>155</v>
      </c>
      <c r="D59" s="13" t="s">
        <v>11</v>
      </c>
      <c r="E59" s="13"/>
      <c r="F59" s="18" t="s">
        <v>168</v>
      </c>
      <c r="G59" s="36" t="s">
        <v>168</v>
      </c>
      <c r="H59" s="26" t="s">
        <v>156</v>
      </c>
      <c r="I59" s="109" t="s">
        <v>119</v>
      </c>
      <c r="J59" s="20" t="s">
        <v>510</v>
      </c>
      <c r="K59" s="12" t="s">
        <v>324</v>
      </c>
      <c r="L59" s="122" t="s">
        <v>512</v>
      </c>
      <c r="M59" s="120" t="s">
        <v>168</v>
      </c>
      <c r="N59" s="26" t="s">
        <v>1</v>
      </c>
      <c r="O59" s="31">
        <v>435</v>
      </c>
      <c r="P59" s="13" t="s">
        <v>428</v>
      </c>
      <c r="Q59" s="13" t="s">
        <v>428</v>
      </c>
      <c r="R59" s="13" t="s">
        <v>428</v>
      </c>
      <c r="S59" s="136" t="s">
        <v>428</v>
      </c>
      <c r="T59" s="52">
        <f>SUM(Table2[[#This Row],[A1toA3_GWP]:[C1toC4_GWP]])</f>
        <v>415.63218390804599</v>
      </c>
      <c r="U59" s="23">
        <f>146/Table2[[#This Row],[DENSITY]]*1000</f>
        <v>335.63218390804599</v>
      </c>
      <c r="V59" s="147">
        <v>80</v>
      </c>
      <c r="W59" s="52">
        <f t="shared" si="0"/>
        <v>0</v>
      </c>
      <c r="X59" s="156" cm="1">
        <f t="array" ref="X59">IF($W59&lt;&gt;0,
IF(AND(
                         T59&gt;=_xlfn.PERCENTILE.INC(_xlfn._xlws.FILTER($T$2:$T$148, ($K$2:$K$148=K59)*($W$2:$W$148=1)),0.1),
                         T59&lt;=_xlfn.PERCENTILE.INC(_xlfn._xlws.FILTER($T$2:$T$148, ($K$3:$K$149=K59)*($W$2:$W$148=1)),0.9)
               ),1,0),
0)</f>
        <v>0</v>
      </c>
      <c r="Y59" s="163"/>
      <c r="Z59" s="12"/>
      <c r="AA59" s="201"/>
      <c r="AB59" s="45"/>
    </row>
    <row r="60" spans="1:28" s="11" customFormat="1" x14ac:dyDescent="0.45">
      <c r="A60" s="98" t="s">
        <v>367</v>
      </c>
      <c r="B60" s="102">
        <v>59</v>
      </c>
      <c r="C60" s="20" t="s">
        <v>159</v>
      </c>
      <c r="D60" s="13" t="s">
        <v>11</v>
      </c>
      <c r="E60" s="13"/>
      <c r="F60" s="18" t="s">
        <v>168</v>
      </c>
      <c r="G60" s="36" t="s">
        <v>168</v>
      </c>
      <c r="H60" s="26" t="s">
        <v>156</v>
      </c>
      <c r="I60" s="109" t="s">
        <v>115</v>
      </c>
      <c r="J60" s="20" t="s">
        <v>338</v>
      </c>
      <c r="K60" s="12" t="s">
        <v>324</v>
      </c>
      <c r="L60" s="122" t="s">
        <v>331</v>
      </c>
      <c r="M60" s="120" t="s">
        <v>168</v>
      </c>
      <c r="N60" s="26" t="s">
        <v>120</v>
      </c>
      <c r="O60" s="31">
        <v>470</v>
      </c>
      <c r="P60" s="13" t="s">
        <v>428</v>
      </c>
      <c r="Q60" s="13" t="s">
        <v>428</v>
      </c>
      <c r="R60" s="13" t="s">
        <v>428</v>
      </c>
      <c r="S60" s="136" t="s">
        <v>428</v>
      </c>
      <c r="T60" s="52">
        <f>SUM(Table2[[#This Row],[A1toA3_GWP]:[C1toC4_GWP]])</f>
        <v>362.97872340425533</v>
      </c>
      <c r="U60" s="23">
        <f>133/Table2[[#This Row],[DENSITY]]*1000</f>
        <v>282.97872340425533</v>
      </c>
      <c r="V60" s="147">
        <v>80</v>
      </c>
      <c r="W60" s="52">
        <f t="shared" si="0"/>
        <v>0</v>
      </c>
      <c r="X60" s="156" cm="1">
        <f t="array" ref="X60">IF($W60&lt;&gt;0,
IF(AND(
                         T60&gt;=_xlfn.PERCENTILE.INC(_xlfn._xlws.FILTER($T$2:$T$148, ($K$2:$K$148=K60)*($W$2:$W$148=1)),0.1),
                         T60&lt;=_xlfn.PERCENTILE.INC(_xlfn._xlws.FILTER($T$2:$T$148, ($K$3:$K$149=K60)*($W$2:$W$148=1)),0.9)
               ),1,0),
0)</f>
        <v>0</v>
      </c>
      <c r="Y60" s="163"/>
      <c r="Z60" s="12"/>
      <c r="AA60" s="201"/>
      <c r="AB60" s="45"/>
    </row>
    <row r="61" spans="1:28" s="11" customFormat="1" x14ac:dyDescent="0.45">
      <c r="A61" s="98" t="s">
        <v>368</v>
      </c>
      <c r="B61" s="102">
        <v>60</v>
      </c>
      <c r="C61" s="20" t="s">
        <v>160</v>
      </c>
      <c r="D61" s="13" t="s">
        <v>11</v>
      </c>
      <c r="E61" s="13"/>
      <c r="F61" s="18" t="s">
        <v>168</v>
      </c>
      <c r="G61" s="36" t="s">
        <v>168</v>
      </c>
      <c r="H61" s="26" t="s">
        <v>156</v>
      </c>
      <c r="I61" s="109" t="s">
        <v>161</v>
      </c>
      <c r="J61" s="20" t="s">
        <v>338</v>
      </c>
      <c r="K61" s="12" t="s">
        <v>324</v>
      </c>
      <c r="L61" s="122" t="s">
        <v>331</v>
      </c>
      <c r="M61" s="120" t="s">
        <v>168</v>
      </c>
      <c r="N61" s="26" t="s">
        <v>120</v>
      </c>
      <c r="O61" s="31">
        <v>470</v>
      </c>
      <c r="P61" s="13" t="s">
        <v>428</v>
      </c>
      <c r="Q61" s="13" t="s">
        <v>428</v>
      </c>
      <c r="R61" s="13" t="s">
        <v>428</v>
      </c>
      <c r="S61" s="136" t="s">
        <v>428</v>
      </c>
      <c r="T61" s="52">
        <f>SUM(Table2[[#This Row],[A1toA3_GWP]:[C1toC4_GWP]])</f>
        <v>280.21276595744678</v>
      </c>
      <c r="U61" s="23">
        <f>94.1/Table2[[#This Row],[DENSITY]]*1000</f>
        <v>200.21276595744681</v>
      </c>
      <c r="V61" s="147">
        <v>80</v>
      </c>
      <c r="W61" s="52">
        <f t="shared" si="0"/>
        <v>0</v>
      </c>
      <c r="X61" s="156" cm="1">
        <f t="array" ref="X61">IF($W61&lt;&gt;0,
IF(AND(
                         T61&gt;=_xlfn.PERCENTILE.INC(_xlfn._xlws.FILTER($T$2:$T$148, ($K$2:$K$148=K61)*($W$2:$W$148=1)),0.1),
                         T61&lt;=_xlfn.PERCENTILE.INC(_xlfn._xlws.FILTER($T$2:$T$148, ($K$3:$K$149=K61)*($W$2:$W$148=1)),0.9)
               ),1,0),
0)</f>
        <v>0</v>
      </c>
      <c r="Y61" s="163"/>
      <c r="Z61" s="12"/>
      <c r="AA61" s="201"/>
      <c r="AB61" s="45"/>
    </row>
    <row r="62" spans="1:28" s="16" customFormat="1" x14ac:dyDescent="0.45">
      <c r="A62" s="170" t="s">
        <v>378</v>
      </c>
      <c r="B62" s="171">
        <v>61</v>
      </c>
      <c r="C62" s="21" t="s">
        <v>168</v>
      </c>
      <c r="D62" s="18" t="s">
        <v>480</v>
      </c>
      <c r="E62" s="203" t="s">
        <v>501</v>
      </c>
      <c r="F62" s="18"/>
      <c r="G62" s="37"/>
      <c r="H62" s="32" t="s">
        <v>53</v>
      </c>
      <c r="I62" s="113" t="s">
        <v>5</v>
      </c>
      <c r="J62" s="21" t="s">
        <v>337</v>
      </c>
      <c r="K62" s="17" t="s">
        <v>324</v>
      </c>
      <c r="L62" s="126" t="s">
        <v>330</v>
      </c>
      <c r="M62" s="118" t="s">
        <v>168</v>
      </c>
      <c r="N62" s="32" t="s">
        <v>1</v>
      </c>
      <c r="O62" s="32">
        <v>439</v>
      </c>
      <c r="P62" s="18" t="s">
        <v>428</v>
      </c>
      <c r="Q62" s="18" t="s">
        <v>428</v>
      </c>
      <c r="R62" s="18" t="s">
        <v>428</v>
      </c>
      <c r="S62" s="142" t="s">
        <v>428</v>
      </c>
      <c r="T62" s="133">
        <v>253</v>
      </c>
      <c r="U62" s="88">
        <v>204</v>
      </c>
      <c r="V62" s="153">
        <f>0.049*1000</f>
        <v>49</v>
      </c>
      <c r="W62" s="135">
        <f t="shared" si="0"/>
        <v>1</v>
      </c>
      <c r="X62" s="172" cm="1">
        <f t="array" ref="X62">IF($W62&lt;&gt;0,
IF(AND(
                         T62&gt;=_xlfn.PERCENTILE.INC(_xlfn._xlws.FILTER($T$2:$T$148, ($K$2:$K$148=K62)*($W$2:$W$148=1)),0.1),
                         T62&lt;=_xlfn.PERCENTILE.INC(_xlfn._xlws.FILTER($T$2:$T$148, ($K$3:$K$149=K62)*($W$2:$W$148=1)),0.9)
               ),1,0),
0)</f>
        <v>1</v>
      </c>
      <c r="Y62" s="169"/>
      <c r="Z62" s="17"/>
      <c r="AA62" s="200"/>
      <c r="AB62" s="45"/>
    </row>
    <row r="63" spans="1:28" s="16" customFormat="1" x14ac:dyDescent="0.45">
      <c r="A63" s="170" t="s">
        <v>231</v>
      </c>
      <c r="B63" s="171">
        <v>62</v>
      </c>
      <c r="C63" s="21" t="s">
        <v>168</v>
      </c>
      <c r="D63" s="18" t="s">
        <v>480</v>
      </c>
      <c r="E63" s="206">
        <v>7.0030000000000001</v>
      </c>
      <c r="F63" s="18"/>
      <c r="G63" s="37"/>
      <c r="H63" s="32"/>
      <c r="I63" s="113" t="s">
        <v>498</v>
      </c>
      <c r="J63" s="21" t="s">
        <v>337</v>
      </c>
      <c r="K63" s="17" t="s">
        <v>324</v>
      </c>
      <c r="L63" s="126" t="s">
        <v>330</v>
      </c>
      <c r="M63" s="118" t="s">
        <v>168</v>
      </c>
      <c r="N63" s="32" t="s">
        <v>1</v>
      </c>
      <c r="O63" s="32">
        <v>439</v>
      </c>
      <c r="P63" s="18" t="s">
        <v>428</v>
      </c>
      <c r="Q63" s="18" t="s">
        <v>428</v>
      </c>
      <c r="R63" s="18" t="s">
        <v>428</v>
      </c>
      <c r="S63" s="142" t="s">
        <v>428</v>
      </c>
      <c r="T63" s="133">
        <v>335</v>
      </c>
      <c r="U63" s="88">
        <v>286</v>
      </c>
      <c r="V63" s="153">
        <v>49</v>
      </c>
      <c r="W63" s="135">
        <f t="shared" si="0"/>
        <v>1</v>
      </c>
      <c r="X63" s="172" cm="1">
        <f t="array" ref="X63">IF($W63&lt;&gt;0,
IF(AND(
                         T63&gt;=_xlfn.PERCENTILE.INC(_xlfn._xlws.FILTER($T$2:$T$148, ($K$2:$K$148=K63)*($W$2:$W$148=1)),0.1),
                         T63&lt;=_xlfn.PERCENTILE.INC(_xlfn._xlws.FILTER($T$2:$T$148, ($K$3:$K$149=K63)*($W$2:$W$148=1)),0.9)
               ),1,0),
0)</f>
        <v>1</v>
      </c>
      <c r="Y63" s="169"/>
      <c r="Z63" s="17"/>
      <c r="AA63" s="200"/>
      <c r="AB63" s="45"/>
    </row>
    <row r="64" spans="1:28" s="16" customFormat="1" x14ac:dyDescent="0.45">
      <c r="A64" s="170" t="s">
        <v>230</v>
      </c>
      <c r="B64" s="171">
        <v>63</v>
      </c>
      <c r="C64" s="21" t="s">
        <v>168</v>
      </c>
      <c r="D64" s="18" t="s">
        <v>480</v>
      </c>
      <c r="E64" s="203" t="s">
        <v>501</v>
      </c>
      <c r="F64" s="18"/>
      <c r="G64" s="37"/>
      <c r="H64" s="32" t="s">
        <v>53</v>
      </c>
      <c r="I64" s="113" t="s">
        <v>157</v>
      </c>
      <c r="J64" s="21" t="s">
        <v>510</v>
      </c>
      <c r="K64" s="17" t="s">
        <v>324</v>
      </c>
      <c r="L64" s="126" t="s">
        <v>512</v>
      </c>
      <c r="M64" s="118" t="s">
        <v>168</v>
      </c>
      <c r="N64" s="32" t="s">
        <v>1</v>
      </c>
      <c r="O64" s="32">
        <v>436</v>
      </c>
      <c r="P64" s="18" t="s">
        <v>428</v>
      </c>
      <c r="Q64" s="18" t="s">
        <v>428</v>
      </c>
      <c r="R64" s="18" t="s">
        <v>428</v>
      </c>
      <c r="S64" s="142" t="s">
        <v>428</v>
      </c>
      <c r="T64" s="133">
        <v>250</v>
      </c>
      <c r="U64" s="88">
        <v>201</v>
      </c>
      <c r="V64" s="153">
        <v>49</v>
      </c>
      <c r="W64" s="135">
        <f t="shared" si="0"/>
        <v>1</v>
      </c>
      <c r="X64" s="172" cm="1">
        <f t="array" ref="X64">IF($W64&lt;&gt;0,
IF(AND(
                         T64&gt;=_xlfn.PERCENTILE.INC(_xlfn._xlws.FILTER($T$2:$T$148, ($K$2:$K$148=K64)*($W$2:$W$148=1)),0.1),
                         T64&lt;=_xlfn.PERCENTILE.INC(_xlfn._xlws.FILTER($T$2:$T$148, ($K$3:$K$149=K64)*($W$2:$W$148=1)),0.9)
               ),1,0),
0)</f>
        <v>1</v>
      </c>
      <c r="Y64" s="169"/>
      <c r="Z64" s="17"/>
      <c r="AA64" s="200"/>
      <c r="AB64" s="45"/>
    </row>
    <row r="65" spans="1:28" s="16" customFormat="1" x14ac:dyDescent="0.45">
      <c r="A65" s="170" t="s">
        <v>229</v>
      </c>
      <c r="B65" s="171">
        <v>64</v>
      </c>
      <c r="C65" s="21" t="s">
        <v>168</v>
      </c>
      <c r="D65" s="18" t="s">
        <v>480</v>
      </c>
      <c r="E65" s="206">
        <v>7.02</v>
      </c>
      <c r="F65" s="18"/>
      <c r="G65" s="37"/>
      <c r="H65" s="32"/>
      <c r="I65" s="113" t="s">
        <v>158</v>
      </c>
      <c r="J65" s="21" t="s">
        <v>510</v>
      </c>
      <c r="K65" s="17" t="s">
        <v>324</v>
      </c>
      <c r="L65" s="126" t="s">
        <v>512</v>
      </c>
      <c r="M65" s="118" t="s">
        <v>168</v>
      </c>
      <c r="N65" s="32" t="s">
        <v>1</v>
      </c>
      <c r="O65" s="32">
        <v>424</v>
      </c>
      <c r="P65" s="18" t="s">
        <v>428</v>
      </c>
      <c r="Q65" s="18" t="s">
        <v>428</v>
      </c>
      <c r="R65" s="18" t="s">
        <v>428</v>
      </c>
      <c r="S65" s="142" t="s">
        <v>428</v>
      </c>
      <c r="T65" s="133">
        <v>365</v>
      </c>
      <c r="U65" s="88">
        <v>316</v>
      </c>
      <c r="V65" s="153">
        <v>49</v>
      </c>
      <c r="W65" s="135">
        <f t="shared" si="0"/>
        <v>1</v>
      </c>
      <c r="X65" s="172" cm="1">
        <f t="array" ref="X65">IF($W65&lt;&gt;0,
IF(AND(
                         T65&gt;=_xlfn.PERCENTILE.INC(_xlfn._xlws.FILTER($T$2:$T$148, ($K$2:$K$148=K65)*($W$2:$W$148=1)),0.1),
                         T65&lt;=_xlfn.PERCENTILE.INC(_xlfn._xlws.FILTER($T$2:$T$148, ($K$3:$K$149=K65)*($W$2:$W$148=1)),0.9)
               ),1,0),
0)</f>
        <v>1</v>
      </c>
      <c r="Y65" s="169"/>
      <c r="Z65" s="17"/>
      <c r="AA65" s="200"/>
      <c r="AB65" s="45"/>
    </row>
    <row r="66" spans="1:28" s="16" customFormat="1" x14ac:dyDescent="0.45">
      <c r="A66" s="170" t="s">
        <v>228</v>
      </c>
      <c r="B66" s="171">
        <v>65</v>
      </c>
      <c r="C66" s="21" t="s">
        <v>168</v>
      </c>
      <c r="D66" s="199" t="s">
        <v>480</v>
      </c>
      <c r="E66" s="203" t="s">
        <v>502</v>
      </c>
      <c r="F66" s="18"/>
      <c r="G66" s="37"/>
      <c r="H66" s="32"/>
      <c r="I66" s="113" t="s">
        <v>379</v>
      </c>
      <c r="J66" s="21" t="s">
        <v>338</v>
      </c>
      <c r="K66" s="17" t="s">
        <v>324</v>
      </c>
      <c r="L66" s="126" t="s">
        <v>331</v>
      </c>
      <c r="M66" s="118" t="s">
        <v>168</v>
      </c>
      <c r="N66" s="32" t="s">
        <v>120</v>
      </c>
      <c r="O66" s="32">
        <v>436</v>
      </c>
      <c r="P66" s="18" t="s">
        <v>428</v>
      </c>
      <c r="Q66" s="18" t="s">
        <v>428</v>
      </c>
      <c r="R66" s="18" t="s">
        <v>428</v>
      </c>
      <c r="S66" s="142" t="s">
        <v>428</v>
      </c>
      <c r="T66" s="133">
        <v>288</v>
      </c>
      <c r="U66" s="88">
        <v>244</v>
      </c>
      <c r="V66" s="153">
        <v>44</v>
      </c>
      <c r="W66" s="135">
        <f t="shared" si="0"/>
        <v>1</v>
      </c>
      <c r="X66" s="172" cm="1">
        <f t="array" ref="X66">IF($W66&lt;&gt;0,
IF(AND(
                         T66&gt;=_xlfn.PERCENTILE.INC(_xlfn._xlws.FILTER($T$2:$T$148, ($K$2:$K$148=K66)*($W$2:$W$148=1)),0.1),
                         T66&lt;=_xlfn.PERCENTILE.INC(_xlfn._xlws.FILTER($T$2:$T$148, ($K$3:$K$149=K66)*($W$2:$W$148=1)),0.9)
               ),1,0),
0)</f>
        <v>1</v>
      </c>
      <c r="Y66" s="169"/>
      <c r="Z66" s="17"/>
      <c r="AA66" s="200"/>
      <c r="AB66" s="45"/>
    </row>
    <row r="67" spans="1:28" customFormat="1" x14ac:dyDescent="0.45">
      <c r="A67" s="9" t="s">
        <v>239</v>
      </c>
      <c r="B67" s="104">
        <v>66</v>
      </c>
      <c r="C67" s="2" t="s">
        <v>100</v>
      </c>
      <c r="D67" s="3" t="s">
        <v>101</v>
      </c>
      <c r="E67" s="3"/>
      <c r="F67" s="34">
        <v>43248</v>
      </c>
      <c r="G67" s="34">
        <v>45439</v>
      </c>
      <c r="H67" s="27" t="s">
        <v>53</v>
      </c>
      <c r="I67" s="111" t="s">
        <v>104</v>
      </c>
      <c r="J67" s="6" t="s">
        <v>337</v>
      </c>
      <c r="K67" s="2" t="s">
        <v>324</v>
      </c>
      <c r="L67" s="124" t="s">
        <v>330</v>
      </c>
      <c r="M67" s="116" t="s">
        <v>168</v>
      </c>
      <c r="N67" s="27" t="s">
        <v>1</v>
      </c>
      <c r="O67" s="27">
        <v>427</v>
      </c>
      <c r="P67" s="3" t="s">
        <v>428</v>
      </c>
      <c r="Q67" s="3" t="s">
        <v>428</v>
      </c>
      <c r="R67" s="3" t="s">
        <v>428</v>
      </c>
      <c r="S67" s="138" t="s">
        <v>428</v>
      </c>
      <c r="T67" s="132">
        <f>SUM(Table2[[#This Row],[A1toA3_GWP]:[C1toC4_GWP]])</f>
        <v>169.48477751756423</v>
      </c>
      <c r="U67" s="25">
        <f>-615/Table2[[#This Row],[DENSITY]]*1000</f>
        <v>-1440.2810304449649</v>
      </c>
      <c r="V67" s="149">
        <f>(1.37+686)/Table2[[#This Row],[DENSITY]]*1000</f>
        <v>1609.7658079625292</v>
      </c>
      <c r="W67" s="99">
        <f t="shared" si="0"/>
        <v>1</v>
      </c>
      <c r="X67" s="158" cm="1">
        <f t="array" ref="X67">IF($W67&lt;&gt;0,
IF(AND(
                         T67&gt;=_xlfn.PERCENTILE.INC(_xlfn._xlws.FILTER($T$2:$T$148, ($K$2:$K$148=K67)*($W$2:$W$148=1)),0.1),
                         T67&lt;=_xlfn.PERCENTILE.INC(_xlfn._xlws.FILTER($T$2:$T$148, ($K$3:$K$149=K67)*($W$2:$W$148=1)),0.9)
               ),1,0),
0)</f>
        <v>1</v>
      </c>
      <c r="Y67" s="165"/>
      <c r="Z67" s="2" t="s">
        <v>429</v>
      </c>
      <c r="AA67" s="68"/>
      <c r="AB67" s="45"/>
    </row>
    <row r="68" spans="1:28" customFormat="1" x14ac:dyDescent="0.45">
      <c r="A68" s="9" t="s">
        <v>238</v>
      </c>
      <c r="B68" s="104">
        <v>67</v>
      </c>
      <c r="C68" s="2" t="s">
        <v>102</v>
      </c>
      <c r="D68" s="3" t="s">
        <v>101</v>
      </c>
      <c r="E68" s="3"/>
      <c r="F68" s="34">
        <v>45358</v>
      </c>
      <c r="G68" s="34">
        <v>47183</v>
      </c>
      <c r="H68" s="27" t="s">
        <v>53</v>
      </c>
      <c r="I68" s="111" t="s">
        <v>103</v>
      </c>
      <c r="J68" s="6" t="s">
        <v>337</v>
      </c>
      <c r="K68" s="2" t="s">
        <v>324</v>
      </c>
      <c r="L68" s="124" t="s">
        <v>330</v>
      </c>
      <c r="M68" s="116" t="s">
        <v>168</v>
      </c>
      <c r="N68" s="27" t="s">
        <v>1</v>
      </c>
      <c r="O68" s="27">
        <v>424</v>
      </c>
      <c r="P68" s="3" t="s">
        <v>428</v>
      </c>
      <c r="Q68" s="3" t="s">
        <v>428</v>
      </c>
      <c r="R68" s="3" t="s">
        <v>428</v>
      </c>
      <c r="S68" s="138" t="s">
        <v>428</v>
      </c>
      <c r="T68" s="132">
        <f>SUM(Table2[[#This Row],[A1toA3_GWP]:[C1toC4_GWP]])</f>
        <v>305.09433962264143</v>
      </c>
      <c r="U68" s="25">
        <f>-559/Table2[[#This Row],[DENSITY]]*1000</f>
        <v>-1318.3962264150944</v>
      </c>
      <c r="V68" s="149">
        <f>(2.36+686)/Table2[[#This Row],[DENSITY]]*1000</f>
        <v>1623.4905660377358</v>
      </c>
      <c r="W68" s="99">
        <f t="shared" si="0"/>
        <v>1</v>
      </c>
      <c r="X68" s="158" cm="1">
        <f t="array" ref="X68">IF($W68&lt;&gt;0,
IF(AND(
                         T68&gt;=_xlfn.PERCENTILE.INC(_xlfn._xlws.FILTER($T$2:$T$148, ($K$2:$K$148=K68)*($W$2:$W$148=1)),0.1),
                         T68&lt;=_xlfn.PERCENTILE.INC(_xlfn._xlws.FILTER($T$2:$T$148, ($K$3:$K$149=K68)*($W$2:$W$148=1)),0.9)
               ),1,0),
0)</f>
        <v>1</v>
      </c>
      <c r="Y68" s="165"/>
      <c r="Z68" s="2" t="s">
        <v>430</v>
      </c>
      <c r="AA68" s="68"/>
      <c r="AB68" s="45"/>
    </row>
    <row r="69" spans="1:28" customFormat="1" x14ac:dyDescent="0.45">
      <c r="A69" s="9" t="s">
        <v>232</v>
      </c>
      <c r="B69" s="104">
        <v>68</v>
      </c>
      <c r="C69" s="2" t="s">
        <v>121</v>
      </c>
      <c r="D69" s="3" t="s">
        <v>101</v>
      </c>
      <c r="E69" s="3"/>
      <c r="F69" s="34">
        <v>44005</v>
      </c>
      <c r="G69" s="34">
        <v>45830</v>
      </c>
      <c r="H69" s="27" t="s">
        <v>53</v>
      </c>
      <c r="I69" s="111" t="s">
        <v>119</v>
      </c>
      <c r="J69" s="6" t="s">
        <v>510</v>
      </c>
      <c r="K69" s="2" t="s">
        <v>324</v>
      </c>
      <c r="L69" s="124" t="s">
        <v>512</v>
      </c>
      <c r="M69" s="116" t="s">
        <v>168</v>
      </c>
      <c r="N69" s="27" t="s">
        <v>120</v>
      </c>
      <c r="O69" s="27">
        <v>424</v>
      </c>
      <c r="P69" s="3" t="s">
        <v>428</v>
      </c>
      <c r="Q69" s="3" t="s">
        <v>428</v>
      </c>
      <c r="R69" s="3" t="s">
        <v>428</v>
      </c>
      <c r="S69" s="138" t="s">
        <v>428</v>
      </c>
      <c r="T69" s="132">
        <f>SUM(Table2[[#This Row],[A1toA3_GWP]:[C1toC4_GWP]])</f>
        <v>185.49528301886789</v>
      </c>
      <c r="U69" s="25">
        <f>-623/Table2[[#This Row],[DENSITY]]*1000</f>
        <v>-1469.3396226415093</v>
      </c>
      <c r="V69" s="149">
        <f>(1.65+700)/Table2[[#This Row],[DENSITY]]*1000</f>
        <v>1654.8349056603772</v>
      </c>
      <c r="W69" s="99">
        <f t="shared" si="0"/>
        <v>1</v>
      </c>
      <c r="X69" s="158" cm="1">
        <f t="array" ref="X69">IF($W69&lt;&gt;0,
IF(AND(
                         T69&gt;=_xlfn.PERCENTILE.INC(_xlfn._xlws.FILTER($T$2:$T$148, ($K$2:$K$148=K69)*($W$2:$W$148=1)),0.1),
                         T69&lt;=_xlfn.PERCENTILE.INC(_xlfn._xlws.FILTER($T$2:$T$148, ($K$3:$K$149=K69)*($W$2:$W$148=1)),0.9)
               ),1,0),
0)</f>
        <v>1</v>
      </c>
      <c r="Y69" s="165"/>
      <c r="Z69" s="2"/>
      <c r="AA69" s="68"/>
      <c r="AB69" s="45"/>
    </row>
    <row r="70" spans="1:28" customFormat="1" x14ac:dyDescent="0.45">
      <c r="A70" s="9" t="s">
        <v>233</v>
      </c>
      <c r="B70" s="104">
        <v>69</v>
      </c>
      <c r="C70" s="8" t="s">
        <v>105</v>
      </c>
      <c r="D70" s="3" t="s">
        <v>106</v>
      </c>
      <c r="E70" s="3"/>
      <c r="F70" s="34">
        <v>45387</v>
      </c>
      <c r="G70" s="34">
        <v>47212</v>
      </c>
      <c r="H70" s="27" t="s">
        <v>107</v>
      </c>
      <c r="I70" s="111" t="s">
        <v>104</v>
      </c>
      <c r="J70" s="6" t="s">
        <v>337</v>
      </c>
      <c r="K70" s="2" t="s">
        <v>324</v>
      </c>
      <c r="L70" s="124" t="s">
        <v>330</v>
      </c>
      <c r="M70" s="116" t="s">
        <v>168</v>
      </c>
      <c r="N70" s="27" t="s">
        <v>1</v>
      </c>
      <c r="O70" s="27">
        <v>466</v>
      </c>
      <c r="P70" s="3" t="s">
        <v>428</v>
      </c>
      <c r="Q70" s="3" t="s">
        <v>428</v>
      </c>
      <c r="R70" s="3" t="s">
        <v>428</v>
      </c>
      <c r="S70" s="138" t="s">
        <v>428</v>
      </c>
      <c r="T70" s="132">
        <f>SUM(Table2[[#This Row],[A1toA3_GWP]:[C1toC4_GWP]])</f>
        <v>190.53648068669531</v>
      </c>
      <c r="U70" s="25">
        <f>-677/Table2[[#This Row],[DENSITY]]*1000</f>
        <v>-1452.7896995708154</v>
      </c>
      <c r="V70" s="149">
        <f>(1.79+764)/Table2[[#This Row],[DENSITY]]*1000</f>
        <v>1643.3261802575107</v>
      </c>
      <c r="W70" s="99">
        <f t="shared" si="0"/>
        <v>1</v>
      </c>
      <c r="X70" s="158" cm="1">
        <f t="array" ref="X70">IF($W70&lt;&gt;0,
IF(AND(
                         T70&gt;=_xlfn.PERCENTILE.INC(_xlfn._xlws.FILTER($T$2:$T$148, ($K$2:$K$148=K70)*($W$2:$W$148=1)),0.1),
                         T70&lt;=_xlfn.PERCENTILE.INC(_xlfn._xlws.FILTER($T$2:$T$148, ($K$3:$K$149=K70)*($W$2:$W$148=1)),0.9)
               ),1,0),
0)</f>
        <v>1</v>
      </c>
      <c r="Y70" s="165"/>
      <c r="Z70" s="2" t="s">
        <v>432</v>
      </c>
      <c r="AA70" s="68"/>
      <c r="AB70" s="45"/>
    </row>
    <row r="71" spans="1:28" customFormat="1" x14ac:dyDescent="0.45">
      <c r="A71" s="9" t="s">
        <v>270</v>
      </c>
      <c r="B71" s="104">
        <v>70</v>
      </c>
      <c r="C71" s="8" t="s">
        <v>108</v>
      </c>
      <c r="D71" s="3" t="s">
        <v>109</v>
      </c>
      <c r="E71" s="3"/>
      <c r="F71" s="34">
        <v>44411</v>
      </c>
      <c r="G71" s="34">
        <v>46236</v>
      </c>
      <c r="H71" s="27" t="s">
        <v>107</v>
      </c>
      <c r="I71" s="111" t="s">
        <v>104</v>
      </c>
      <c r="J71" s="6" t="s">
        <v>337</v>
      </c>
      <c r="K71" s="2" t="s">
        <v>324</v>
      </c>
      <c r="L71" s="124" t="s">
        <v>330</v>
      </c>
      <c r="M71" s="116" t="s">
        <v>168</v>
      </c>
      <c r="N71" s="27" t="s">
        <v>1</v>
      </c>
      <c r="O71" s="27">
        <v>470</v>
      </c>
      <c r="P71" s="3" t="s">
        <v>428</v>
      </c>
      <c r="Q71" s="3" t="s">
        <v>428</v>
      </c>
      <c r="R71" s="3" t="s">
        <v>428</v>
      </c>
      <c r="S71" s="138" t="s">
        <v>428</v>
      </c>
      <c r="T71" s="132">
        <f>SUM(Table2[[#This Row],[A1toA3_GWP]:[C1toC4_GWP]])</f>
        <v>311.53191489361689</v>
      </c>
      <c r="U71" s="25">
        <f>-608/Table2[[#This Row],[DENSITY]]*1000</f>
        <v>-1293.6170212765958</v>
      </c>
      <c r="V71" s="149">
        <f>(1.42+753)/Table2[[#This Row],[DENSITY]]*1000</f>
        <v>1605.1489361702127</v>
      </c>
      <c r="W71" s="99">
        <f t="shared" si="0"/>
        <v>1</v>
      </c>
      <c r="X71" s="158" cm="1">
        <f t="array" ref="X71">IF($W71&lt;&gt;0,
IF(AND(
                         T71&gt;=_xlfn.PERCENTILE.INC(_xlfn._xlws.FILTER($T$2:$T$148, ($K$2:$K$148=K71)*($W$2:$W$148=1)),0.1),
                         T71&lt;=_xlfn.PERCENTILE.INC(_xlfn._xlws.FILTER($T$2:$T$148, ($K$3:$K$149=K71)*($W$2:$W$148=1)),0.9)
               ),1,0),
0)</f>
        <v>1</v>
      </c>
      <c r="Y71" s="165"/>
      <c r="Z71" s="2" t="s">
        <v>431</v>
      </c>
      <c r="AA71" s="68"/>
      <c r="AB71" s="45"/>
    </row>
    <row r="72" spans="1:28" customFormat="1" x14ac:dyDescent="0.45">
      <c r="A72" s="9" t="s">
        <v>234</v>
      </c>
      <c r="B72" s="104">
        <v>71</v>
      </c>
      <c r="C72" s="8" t="s">
        <v>110</v>
      </c>
      <c r="D72" s="3" t="s">
        <v>111</v>
      </c>
      <c r="E72" s="3"/>
      <c r="F72" s="34">
        <v>45104</v>
      </c>
      <c r="G72" s="34">
        <v>46930</v>
      </c>
      <c r="H72" s="27" t="s">
        <v>56</v>
      </c>
      <c r="I72" s="111" t="s">
        <v>104</v>
      </c>
      <c r="J72" s="6" t="s">
        <v>337</v>
      </c>
      <c r="K72" s="2" t="s">
        <v>324</v>
      </c>
      <c r="L72" s="124" t="s">
        <v>330</v>
      </c>
      <c r="M72" s="116" t="s">
        <v>168</v>
      </c>
      <c r="N72" s="27" t="s">
        <v>1</v>
      </c>
      <c r="O72" s="27">
        <v>464</v>
      </c>
      <c r="P72" s="3" t="s">
        <v>428</v>
      </c>
      <c r="Q72" s="3" t="s">
        <v>428</v>
      </c>
      <c r="R72" s="3" t="s">
        <v>428</v>
      </c>
      <c r="S72" s="138" t="s">
        <v>428</v>
      </c>
      <c r="T72" s="132">
        <f>SUM(Table2[[#This Row],[A1toA3_GWP]:[C1toC4_GWP]])</f>
        <v>184.20258620689651</v>
      </c>
      <c r="U72" s="25">
        <f>-687/Table2[[#This Row],[DENSITY]]*1000</f>
        <v>-1480.6034482758621</v>
      </c>
      <c r="V72" s="149">
        <f>(1.47+771)/Table2[[#This Row],[DENSITY]]*1000</f>
        <v>1664.8060344827586</v>
      </c>
      <c r="W72" s="99">
        <f t="shared" ref="W72:W132" si="2">IF(OR($D72="Ecoinvent",$D72="Betonsortenrechner",$D72="KBOB",$T72&lt;=0),0,1)</f>
        <v>1</v>
      </c>
      <c r="X72" s="158" cm="1">
        <f t="array" ref="X72">IF($W72&lt;&gt;0,
IF(AND(
                         T72&gt;=_xlfn.PERCENTILE.INC(_xlfn._xlws.FILTER($T$2:$T$148, ($K$2:$K$148=K72)*($W$2:$W$148=1)),0.1),
                         T72&lt;=_xlfn.PERCENTILE.INC(_xlfn._xlws.FILTER($T$2:$T$148, ($K$3:$K$149=K72)*($W$2:$W$148=1)),0.9)
               ),1,0),
0)</f>
        <v>1</v>
      </c>
      <c r="Y72" s="165"/>
      <c r="Z72" s="2" t="s">
        <v>432</v>
      </c>
      <c r="AA72" s="68"/>
      <c r="AB72" s="45"/>
    </row>
    <row r="73" spans="1:28" customFormat="1" x14ac:dyDescent="0.45">
      <c r="A73" s="9" t="s">
        <v>269</v>
      </c>
      <c r="B73" s="104">
        <v>72</v>
      </c>
      <c r="C73" s="8" t="s">
        <v>113</v>
      </c>
      <c r="D73" s="3" t="s">
        <v>112</v>
      </c>
      <c r="E73" s="3"/>
      <c r="F73" s="34">
        <v>43798</v>
      </c>
      <c r="G73" s="34">
        <v>45624</v>
      </c>
      <c r="H73" s="27" t="s">
        <v>107</v>
      </c>
      <c r="I73" s="111" t="s">
        <v>104</v>
      </c>
      <c r="J73" s="6" t="s">
        <v>337</v>
      </c>
      <c r="K73" s="2" t="s">
        <v>324</v>
      </c>
      <c r="L73" s="124" t="s">
        <v>330</v>
      </c>
      <c r="M73" s="116" t="s">
        <v>168</v>
      </c>
      <c r="N73" s="27" t="s">
        <v>1</v>
      </c>
      <c r="O73" s="33">
        <v>459.2</v>
      </c>
      <c r="P73" s="3" t="s">
        <v>428</v>
      </c>
      <c r="Q73" s="3" t="s">
        <v>428</v>
      </c>
      <c r="R73" s="3" t="s">
        <v>428</v>
      </c>
      <c r="S73" s="138" t="s">
        <v>428</v>
      </c>
      <c r="T73" s="132">
        <f>SUM(Table2[[#This Row],[A1toA3_GWP]:[C1toC4_GWP]])</f>
        <v>239.97386759581855</v>
      </c>
      <c r="U73" s="25">
        <f>(-660+6.26+14.4)/Table2[[#This Row],[DENSITY]]*1000</f>
        <v>-1392.2909407665506</v>
      </c>
      <c r="V73" s="149">
        <f>(0.536+749)/Table2[[#This Row],[DENSITY]]*1000</f>
        <v>1632.2648083623692</v>
      </c>
      <c r="W73" s="99">
        <f t="shared" si="2"/>
        <v>1</v>
      </c>
      <c r="X73" s="158" cm="1">
        <f t="array" ref="X73">IF($W73&lt;&gt;0,
IF(AND(
                         T73&gt;=_xlfn.PERCENTILE.INC(_xlfn._xlws.FILTER($T$2:$T$148, ($K$2:$K$148=K73)*($W$2:$W$148=1)),0.1),
                         T73&lt;=_xlfn.PERCENTILE.INC(_xlfn._xlws.FILTER($T$2:$T$148, ($K$3:$K$149=K73)*($W$2:$W$148=1)),0.9)
               ),1,0),
0)</f>
        <v>1</v>
      </c>
      <c r="Y73" s="165"/>
      <c r="Z73" s="2"/>
      <c r="AA73" s="68"/>
      <c r="AB73" s="45"/>
    </row>
    <row r="74" spans="1:28" customFormat="1" ht="14.25" customHeight="1" x14ac:dyDescent="0.45">
      <c r="A74" s="9" t="s">
        <v>369</v>
      </c>
      <c r="B74" s="104">
        <v>73</v>
      </c>
      <c r="C74" s="8" t="s">
        <v>114</v>
      </c>
      <c r="D74" s="3" t="s">
        <v>109</v>
      </c>
      <c r="E74" s="3"/>
      <c r="F74" s="34">
        <v>44411</v>
      </c>
      <c r="G74" s="34">
        <v>46236</v>
      </c>
      <c r="H74" s="27" t="s">
        <v>107</v>
      </c>
      <c r="I74" s="111" t="s">
        <v>115</v>
      </c>
      <c r="J74" s="6" t="s">
        <v>339</v>
      </c>
      <c r="K74" s="2" t="s">
        <v>324</v>
      </c>
      <c r="L74" s="124" t="s">
        <v>332</v>
      </c>
      <c r="M74" s="116" t="s">
        <v>168</v>
      </c>
      <c r="N74" s="27" t="s">
        <v>120</v>
      </c>
      <c r="O74" s="27">
        <v>470</v>
      </c>
      <c r="P74" s="3" t="s">
        <v>428</v>
      </c>
      <c r="Q74" s="3" t="s">
        <v>428</v>
      </c>
      <c r="R74" s="3" t="s">
        <v>428</v>
      </c>
      <c r="S74" s="138" t="s">
        <v>428</v>
      </c>
      <c r="T74" s="132">
        <f>SUM(Table2[[#This Row],[A1toA3_GWP]:[C1toC4_GWP]])</f>
        <v>137.063829787234</v>
      </c>
      <c r="U74" s="25">
        <f>(-696)/Table2[[#This Row],[DENSITY]]*1000</f>
        <v>-1480.8510638297871</v>
      </c>
      <c r="V74" s="149">
        <f>(1.42+759)/Table2[[#This Row],[DENSITY]]*1000</f>
        <v>1617.9148936170211</v>
      </c>
      <c r="W74" s="99">
        <f t="shared" si="2"/>
        <v>1</v>
      </c>
      <c r="X74" s="158" cm="1">
        <f t="array" ref="X74">IF($W74&lt;&gt;0,
IF(AND(
                         T74&gt;=_xlfn.PERCENTILE.INC(_xlfn._xlws.FILTER($T$2:$T$148, ($K$2:$K$148=K74)*($W$2:$W$148=1)),0.1),
                         T74&lt;=_xlfn.PERCENTILE.INC(_xlfn._xlws.FILTER($T$2:$T$148, ($K$3:$K$149=K74)*($W$2:$W$148=1)),0.9)
               ),1,0),
0)</f>
        <v>1</v>
      </c>
      <c r="Y74" s="165"/>
      <c r="Z74" s="66" t="s">
        <v>417</v>
      </c>
      <c r="AA74" s="68" t="s">
        <v>420</v>
      </c>
      <c r="AB74" s="45"/>
    </row>
    <row r="75" spans="1:28" customFormat="1" x14ac:dyDescent="0.45">
      <c r="A75" s="9" t="s">
        <v>235</v>
      </c>
      <c r="B75" s="104">
        <v>74</v>
      </c>
      <c r="C75" s="8" t="s">
        <v>117</v>
      </c>
      <c r="D75" s="3" t="s">
        <v>116</v>
      </c>
      <c r="E75" s="3"/>
      <c r="F75" s="34">
        <v>45386</v>
      </c>
      <c r="G75" s="34">
        <v>47211</v>
      </c>
      <c r="H75" s="27" t="s">
        <v>54</v>
      </c>
      <c r="I75" s="111" t="s">
        <v>104</v>
      </c>
      <c r="J75" s="6" t="s">
        <v>337</v>
      </c>
      <c r="K75" s="2" t="s">
        <v>324</v>
      </c>
      <c r="L75" s="124" t="s">
        <v>330</v>
      </c>
      <c r="M75" s="116" t="s">
        <v>168</v>
      </c>
      <c r="N75" s="27" t="s">
        <v>1</v>
      </c>
      <c r="O75" s="27">
        <v>430</v>
      </c>
      <c r="P75" s="3" t="s">
        <v>428</v>
      </c>
      <c r="Q75" s="3" t="s">
        <v>428</v>
      </c>
      <c r="R75" s="3" t="s">
        <v>428</v>
      </c>
      <c r="S75" s="138" t="s">
        <v>428</v>
      </c>
      <c r="T75" s="132">
        <f>SUM(Table2[[#This Row],[A1toA3_GWP]:[C1toC4_GWP]])</f>
        <v>442.09302325581416</v>
      </c>
      <c r="U75" s="25">
        <f>(-554)/Table2[[#This Row],[DENSITY]]*1000</f>
        <v>-1288.3720930232557</v>
      </c>
      <c r="V75" s="149">
        <f>(19.1+725)/Table2[[#This Row],[DENSITY]]*1000</f>
        <v>1730.4651162790699</v>
      </c>
      <c r="W75" s="99">
        <f t="shared" si="2"/>
        <v>1</v>
      </c>
      <c r="X75" s="158" cm="1">
        <f t="array" ref="X75">IF($W75&lt;&gt;0,
IF(AND(
                         T75&gt;=_xlfn.PERCENTILE.INC(_xlfn._xlws.FILTER($T$2:$T$148, ($K$2:$K$148=K75)*($W$2:$W$148=1)),0.1),
                         T75&lt;=_xlfn.PERCENTILE.INC(_xlfn._xlws.FILTER($T$2:$T$148, ($K$3:$K$149=K75)*($W$2:$W$148=1)),0.9)
               ),1,0),
0)</f>
        <v>0</v>
      </c>
      <c r="Y75" s="165"/>
      <c r="Z75" s="2" t="s">
        <v>434</v>
      </c>
      <c r="AA75" s="68"/>
      <c r="AB75" s="45"/>
    </row>
    <row r="76" spans="1:28" customFormat="1" x14ac:dyDescent="0.45">
      <c r="A76" s="9" t="s">
        <v>236</v>
      </c>
      <c r="B76" s="104">
        <v>75</v>
      </c>
      <c r="C76" s="2" t="s">
        <v>118</v>
      </c>
      <c r="D76" s="3" t="s">
        <v>116</v>
      </c>
      <c r="E76" s="3"/>
      <c r="F76" s="34">
        <v>45386</v>
      </c>
      <c r="G76" s="34">
        <v>47211</v>
      </c>
      <c r="H76" s="27" t="s">
        <v>54</v>
      </c>
      <c r="I76" s="111" t="s">
        <v>119</v>
      </c>
      <c r="J76" s="6" t="s">
        <v>510</v>
      </c>
      <c r="K76" s="2" t="s">
        <v>324</v>
      </c>
      <c r="L76" s="124" t="s">
        <v>512</v>
      </c>
      <c r="M76" s="116" t="s">
        <v>168</v>
      </c>
      <c r="N76" s="27" t="s">
        <v>120</v>
      </c>
      <c r="O76" s="27">
        <v>430</v>
      </c>
      <c r="P76" s="3" t="s">
        <v>428</v>
      </c>
      <c r="Q76" s="3" t="s">
        <v>428</v>
      </c>
      <c r="R76" s="3" t="s">
        <v>428</v>
      </c>
      <c r="S76" s="138" t="s">
        <v>428</v>
      </c>
      <c r="T76" s="132">
        <f>SUM(Table2[[#This Row],[A1toA3_GWP]:[C1toC4_GWP]])</f>
        <v>556.04651162790697</v>
      </c>
      <c r="U76" s="25">
        <f>(-505)/Table2[[#This Row],[DENSITY]]*1000</f>
        <v>-1174.4186046511629</v>
      </c>
      <c r="V76" s="149">
        <f>(19.1+725)/Table2[[#This Row],[DENSITY]]*1000</f>
        <v>1730.4651162790699</v>
      </c>
      <c r="W76" s="99">
        <f t="shared" si="2"/>
        <v>1</v>
      </c>
      <c r="X76" s="158" cm="1">
        <f t="array" ref="X76">IF($W76&lt;&gt;0,
IF(AND(
                         T76&gt;=_xlfn.PERCENTILE.INC(_xlfn._xlws.FILTER($T$2:$T$148, ($K$2:$K$148=K76)*($W$2:$W$148=1)),0.1),
                         T76&lt;=_xlfn.PERCENTILE.INC(_xlfn._xlws.FILTER($T$2:$T$148, ($K$3:$K$149=K76)*($W$2:$W$148=1)),0.9)
               ),1,0),
0)</f>
        <v>0</v>
      </c>
      <c r="Y76" s="165"/>
      <c r="Z76" s="2" t="s">
        <v>434</v>
      </c>
      <c r="AA76" s="68"/>
      <c r="AB76" s="45"/>
    </row>
    <row r="77" spans="1:28" customFormat="1" x14ac:dyDescent="0.45">
      <c r="A77" s="9" t="s">
        <v>370</v>
      </c>
      <c r="B77" s="104">
        <v>76</v>
      </c>
      <c r="C77" s="179" t="s">
        <v>124</v>
      </c>
      <c r="D77" s="180" t="s">
        <v>122</v>
      </c>
      <c r="E77" s="180"/>
      <c r="F77" s="181" t="s">
        <v>124</v>
      </c>
      <c r="G77" s="181" t="s">
        <v>124</v>
      </c>
      <c r="H77" s="177" t="s">
        <v>54</v>
      </c>
      <c r="I77" s="178" t="s">
        <v>123</v>
      </c>
      <c r="J77" s="6" t="s">
        <v>339</v>
      </c>
      <c r="K77" s="2" t="s">
        <v>324</v>
      </c>
      <c r="L77" s="124" t="s">
        <v>332</v>
      </c>
      <c r="M77" s="116" t="s">
        <v>168</v>
      </c>
      <c r="N77" s="27" t="s">
        <v>120</v>
      </c>
      <c r="O77" s="27">
        <v>435</v>
      </c>
      <c r="P77" s="3" t="s">
        <v>428</v>
      </c>
      <c r="Q77" s="3" t="s">
        <v>428</v>
      </c>
      <c r="R77" s="3" t="s">
        <v>428</v>
      </c>
      <c r="S77" s="138" t="s">
        <v>428</v>
      </c>
      <c r="T77" s="174">
        <f>SUM(Table2[[#This Row],[A1toA3_GWP]:[C1toC4_GWP]])</f>
        <v>3056.7816091954023</v>
      </c>
      <c r="U77" s="182">
        <f>(-1220-1400+3250)/Table2[[#This Row],[DENSITY]]*1000</f>
        <v>1448.2758620689656</v>
      </c>
      <c r="V77" s="176">
        <f>(0.7+699)/Table2[[#This Row],[DENSITY]]*1000</f>
        <v>1608.5057471264367</v>
      </c>
      <c r="W77" s="174">
        <v>0</v>
      </c>
      <c r="X77" s="158" cm="1">
        <f t="array" ref="X77">IF($W77&lt;&gt;0,
IF(AND(
                         T77&gt;=_xlfn.PERCENTILE.INC(_xlfn._xlws.FILTER($T$2:$T$148, ($K$2:$K$148=K77)*($W$2:$W$148=1)),0.1),
                         T77&lt;=_xlfn.PERCENTILE.INC(_xlfn._xlws.FILTER($T$2:$T$148, ($K$3:$K$149=K77)*($W$2:$W$148=1)),0.9)
               ),1,0),
0)</f>
        <v>0</v>
      </c>
      <c r="Y77" s="165"/>
      <c r="Z77" s="2"/>
      <c r="AA77" s="68"/>
      <c r="AB77" s="45"/>
    </row>
    <row r="78" spans="1:28" customFormat="1" x14ac:dyDescent="0.45">
      <c r="A78" s="9" t="s">
        <v>237</v>
      </c>
      <c r="B78" s="104">
        <v>77</v>
      </c>
      <c r="C78" s="2" t="s">
        <v>125</v>
      </c>
      <c r="D78" s="3" t="s">
        <v>126</v>
      </c>
      <c r="E78" s="3"/>
      <c r="F78" s="34">
        <v>45106</v>
      </c>
      <c r="G78" s="34">
        <v>46933</v>
      </c>
      <c r="H78" s="27" t="s">
        <v>250</v>
      </c>
      <c r="I78" s="111" t="s">
        <v>119</v>
      </c>
      <c r="J78" s="6" t="s">
        <v>510</v>
      </c>
      <c r="K78" s="2" t="s">
        <v>324</v>
      </c>
      <c r="L78" s="124" t="s">
        <v>512</v>
      </c>
      <c r="M78" s="116" t="s">
        <v>168</v>
      </c>
      <c r="N78" s="27" t="s">
        <v>120</v>
      </c>
      <c r="O78" s="27">
        <v>470</v>
      </c>
      <c r="P78" s="3" t="s">
        <v>428</v>
      </c>
      <c r="Q78" s="3" t="s">
        <v>428</v>
      </c>
      <c r="R78" s="3" t="s">
        <v>428</v>
      </c>
      <c r="S78" s="138" t="s">
        <v>428</v>
      </c>
      <c r="T78" s="132">
        <f>SUM(Table2[[#This Row],[A1toA3_GWP]:[C1toC4_GWP]])</f>
        <v>243.38297872340422</v>
      </c>
      <c r="U78" s="25">
        <f>(-675)/Table2[[#This Row],[DENSITY]]*1000</f>
        <v>-1436.1702127659576</v>
      </c>
      <c r="V78" s="149">
        <f>(9.42+3.97+776)/Table2[[#This Row],[DENSITY]]*1000</f>
        <v>1679.5531914893618</v>
      </c>
      <c r="W78" s="99">
        <f t="shared" si="2"/>
        <v>1</v>
      </c>
      <c r="X78" s="158" cm="1">
        <f t="array" ref="X78">IF($W78&lt;&gt;0,
IF(AND(
                         T78&gt;=_xlfn.PERCENTILE.INC(_xlfn._xlws.FILTER($T$2:$T$148, ($K$2:$K$148=K78)*($W$2:$W$148=1)),0.1),
                         T78&lt;=_xlfn.PERCENTILE.INC(_xlfn._xlws.FILTER($T$2:$T$148, ($K$3:$K$149=K78)*($W$2:$W$148=1)),0.9)
               ),1,0),
0)</f>
        <v>1</v>
      </c>
      <c r="Y78" s="165"/>
      <c r="Z78" s="2"/>
      <c r="AA78" s="68"/>
      <c r="AB78" s="45"/>
    </row>
    <row r="79" spans="1:28" customFormat="1" x14ac:dyDescent="0.45">
      <c r="A79" s="9" t="s">
        <v>241</v>
      </c>
      <c r="B79" s="104">
        <v>78</v>
      </c>
      <c r="C79" s="2" t="s">
        <v>240</v>
      </c>
      <c r="D79" s="3" t="s">
        <v>242</v>
      </c>
      <c r="E79" s="3"/>
      <c r="F79" s="34">
        <v>44179</v>
      </c>
      <c r="G79" s="34">
        <v>46003</v>
      </c>
      <c r="H79" s="27" t="s">
        <v>248</v>
      </c>
      <c r="I79" s="111" t="s">
        <v>119</v>
      </c>
      <c r="J79" s="6" t="s">
        <v>510</v>
      </c>
      <c r="K79" s="2" t="s">
        <v>324</v>
      </c>
      <c r="L79" s="124" t="s">
        <v>512</v>
      </c>
      <c r="M79" s="116" t="s">
        <v>168</v>
      </c>
      <c r="N79" s="27" t="s">
        <v>120</v>
      </c>
      <c r="O79" s="27">
        <v>430</v>
      </c>
      <c r="P79" s="3" t="s">
        <v>428</v>
      </c>
      <c r="Q79" s="3" t="s">
        <v>428</v>
      </c>
      <c r="R79" s="3" t="s">
        <v>428</v>
      </c>
      <c r="S79" s="138" t="s">
        <v>428</v>
      </c>
      <c r="T79" s="132">
        <f>SUM(Table2[[#This Row],[A1toA3_GWP]:[C1toC4_GWP]])</f>
        <v>92.325581395348763</v>
      </c>
      <c r="U79" s="25">
        <f>-670/Table2[[#This Row],[DENSITY]]*1000</f>
        <v>-1558.1395348837211</v>
      </c>
      <c r="V79" s="149">
        <f>(0.8+4.9+704)/Table2[[#This Row],[DENSITY]]*1000</f>
        <v>1650.4651162790699</v>
      </c>
      <c r="W79" s="99">
        <f t="shared" si="2"/>
        <v>1</v>
      </c>
      <c r="X79" s="158" cm="1">
        <f t="array" ref="X79">IF($W79&lt;&gt;0,
IF(AND(
                         T79&gt;=_xlfn.PERCENTILE.INC(_xlfn._xlws.FILTER($T$2:$T$148, ($K$2:$K$148=K79)*($W$2:$W$148=1)),0.1),
                         T79&lt;=_xlfn.PERCENTILE.INC(_xlfn._xlws.FILTER($T$2:$T$148, ($K$3:$K$149=K79)*($W$2:$W$148=1)),0.9)
               ),1,0),
0)</f>
        <v>0</v>
      </c>
      <c r="Y79" s="165"/>
      <c r="Z79" s="2" t="s">
        <v>439</v>
      </c>
      <c r="AA79" s="68"/>
      <c r="AB79" s="45"/>
    </row>
    <row r="80" spans="1:28" customFormat="1" x14ac:dyDescent="0.45">
      <c r="A80" s="9" t="s">
        <v>245</v>
      </c>
      <c r="B80" s="104">
        <v>79</v>
      </c>
      <c r="C80" s="2" t="s">
        <v>243</v>
      </c>
      <c r="D80" s="3" t="s">
        <v>244</v>
      </c>
      <c r="E80" s="3"/>
      <c r="F80" s="34">
        <v>44593</v>
      </c>
      <c r="G80" s="34">
        <v>46419</v>
      </c>
      <c r="H80" s="27" t="s">
        <v>248</v>
      </c>
      <c r="I80" s="111" t="s">
        <v>119</v>
      </c>
      <c r="J80" s="6" t="s">
        <v>510</v>
      </c>
      <c r="K80" s="2" t="s">
        <v>324</v>
      </c>
      <c r="L80" s="124" t="s">
        <v>512</v>
      </c>
      <c r="M80" s="116" t="s">
        <v>168</v>
      </c>
      <c r="N80" s="27" t="s">
        <v>120</v>
      </c>
      <c r="O80" s="27">
        <v>430</v>
      </c>
      <c r="P80" s="3" t="s">
        <v>428</v>
      </c>
      <c r="Q80" s="3" t="s">
        <v>428</v>
      </c>
      <c r="R80" s="3" t="s">
        <v>428</v>
      </c>
      <c r="S80" s="138" t="s">
        <v>428</v>
      </c>
      <c r="T80" s="174">
        <f>SUM(Table2[[#This Row],[A1toA3_GWP]:[C1toC4_GWP]])</f>
        <v>-66.186046511627865</v>
      </c>
      <c r="U80" s="175">
        <f>-780/Table2[[#This Row],[DENSITY]]*1000</f>
        <v>-1813.9534883720928</v>
      </c>
      <c r="V80" s="176">
        <f>(0.24+1.3+750)/Table2[[#This Row],[DENSITY]]*1000</f>
        <v>1747.7674418604649</v>
      </c>
      <c r="W80" s="174">
        <f t="shared" si="2"/>
        <v>0</v>
      </c>
      <c r="X80" s="158" cm="1">
        <f t="array" ref="X80">IF($W80&lt;&gt;0,
IF(AND(
                         T80&gt;=_xlfn.PERCENTILE.INC(_xlfn._xlws.FILTER($T$2:$T$148, ($K$2:$K$148=K80)*($W$2:$W$148=1)),0.1),
                         T80&lt;=_xlfn.PERCENTILE.INC(_xlfn._xlws.FILTER($T$2:$T$148, ($K$3:$K$149=K80)*($W$2:$W$148=1)),0.9)
               ),1,0),
0)</f>
        <v>0</v>
      </c>
      <c r="Y80" s="165"/>
      <c r="Z80" s="2" t="s">
        <v>440</v>
      </c>
      <c r="AA80" s="68"/>
      <c r="AB80" s="45"/>
    </row>
    <row r="81" spans="1:28" customFormat="1" x14ac:dyDescent="0.45">
      <c r="A81" s="9" t="s">
        <v>251</v>
      </c>
      <c r="B81" s="104">
        <v>80</v>
      </c>
      <c r="C81" s="2" t="s">
        <v>247</v>
      </c>
      <c r="D81" s="3" t="s">
        <v>246</v>
      </c>
      <c r="E81" s="3"/>
      <c r="F81" s="34">
        <v>45205</v>
      </c>
      <c r="G81" s="34">
        <v>47032</v>
      </c>
      <c r="H81" s="27" t="s">
        <v>249</v>
      </c>
      <c r="I81" s="111" t="s">
        <v>119</v>
      </c>
      <c r="J81" s="6" t="s">
        <v>510</v>
      </c>
      <c r="K81" s="2" t="s">
        <v>324</v>
      </c>
      <c r="L81" s="124" t="s">
        <v>512</v>
      </c>
      <c r="M81" s="116" t="s">
        <v>168</v>
      </c>
      <c r="N81" s="27" t="s">
        <v>120</v>
      </c>
      <c r="O81" s="27">
        <v>470</v>
      </c>
      <c r="P81" s="3" t="s">
        <v>428</v>
      </c>
      <c r="Q81" s="3" t="s">
        <v>428</v>
      </c>
      <c r="R81" s="3" t="s">
        <v>428</v>
      </c>
      <c r="S81" s="138" t="s">
        <v>428</v>
      </c>
      <c r="T81" s="132">
        <f>SUM(Table2[[#This Row],[A1toA3_GWP]:[C1toC4_GWP]])</f>
        <v>170.34042553191466</v>
      </c>
      <c r="U81" s="25">
        <f>-708/Table2[[#This Row],[DENSITY]]*1000</f>
        <v>-1506.3829787234042</v>
      </c>
      <c r="V81" s="149">
        <f>(4.01+2.05+782)/Table2[[#This Row],[DENSITY]]*1000</f>
        <v>1676.7234042553189</v>
      </c>
      <c r="W81" s="99">
        <f t="shared" si="2"/>
        <v>1</v>
      </c>
      <c r="X81" s="158" cm="1">
        <f t="array" ref="X81">IF($W81&lt;&gt;0,
IF(AND(
                         T81&gt;=_xlfn.PERCENTILE.INC(_xlfn._xlws.FILTER($T$2:$T$148, ($K$2:$K$148=K81)*($W$2:$W$148=1)),0.1),
                         T81&lt;=_xlfn.PERCENTILE.INC(_xlfn._xlws.FILTER($T$2:$T$148, ($K$3:$K$149=K81)*($W$2:$W$148=1)),0.9)
               ),1,0),
0)</f>
        <v>1</v>
      </c>
      <c r="Y81" s="165"/>
      <c r="Z81" s="2" t="s">
        <v>441</v>
      </c>
      <c r="AA81" s="68" t="s">
        <v>424</v>
      </c>
      <c r="AB81" s="45"/>
    </row>
    <row r="82" spans="1:28" customFormat="1" x14ac:dyDescent="0.45">
      <c r="A82" s="9" t="s">
        <v>252</v>
      </c>
      <c r="B82" s="104">
        <v>81</v>
      </c>
      <c r="C82" s="2" t="s">
        <v>253</v>
      </c>
      <c r="D82" s="3" t="s">
        <v>112</v>
      </c>
      <c r="E82" s="3"/>
      <c r="F82" s="34">
        <v>43544</v>
      </c>
      <c r="G82" s="34">
        <v>45370</v>
      </c>
      <c r="H82" s="27" t="s">
        <v>254</v>
      </c>
      <c r="I82" s="111" t="s">
        <v>255</v>
      </c>
      <c r="J82" s="6" t="s">
        <v>510</v>
      </c>
      <c r="K82" s="2" t="s">
        <v>324</v>
      </c>
      <c r="L82" s="124" t="s">
        <v>512</v>
      </c>
      <c r="M82" s="116" t="s">
        <v>168</v>
      </c>
      <c r="N82" s="27" t="s">
        <v>120</v>
      </c>
      <c r="O82" s="27">
        <v>470</v>
      </c>
      <c r="P82" s="3" t="s">
        <v>428</v>
      </c>
      <c r="Q82" s="3" t="s">
        <v>428</v>
      </c>
      <c r="R82" s="3" t="s">
        <v>428</v>
      </c>
      <c r="S82" s="138" t="s">
        <v>428</v>
      </c>
      <c r="T82" s="132">
        <f>SUM(Table2[[#This Row],[A1toA3_GWP]:[C1toC4_GWP]])</f>
        <v>232.9957446808512</v>
      </c>
      <c r="U82" s="25">
        <f>(-683+7.56+18.4)/Table2[[#This Row],[DENSITY]]*1000</f>
        <v>-1397.9574468085107</v>
      </c>
      <c r="V82" s="149">
        <f>(0.548+766)/Table2[[#This Row],[DENSITY]]*1000</f>
        <v>1630.9531914893619</v>
      </c>
      <c r="W82" s="99">
        <f t="shared" si="2"/>
        <v>1</v>
      </c>
      <c r="X82" s="158" cm="1">
        <f t="array" ref="X82">IF($W82&lt;&gt;0,
IF(AND(
                         T82&gt;=_xlfn.PERCENTILE.INC(_xlfn._xlws.FILTER($T$2:$T$148, ($K$2:$K$148=K82)*($W$2:$W$148=1)),0.1),
                         T82&lt;=_xlfn.PERCENTILE.INC(_xlfn._xlws.FILTER($T$2:$T$148, ($K$3:$K$149=K82)*($W$2:$W$148=1)),0.9)
               ),1,0),
0)</f>
        <v>1</v>
      </c>
      <c r="Y82" s="165"/>
      <c r="Z82" s="2"/>
      <c r="AA82" s="68"/>
      <c r="AB82" s="45"/>
    </row>
    <row r="83" spans="1:28" customFormat="1" x14ac:dyDescent="0.45">
      <c r="A83" s="9" t="s">
        <v>257</v>
      </c>
      <c r="B83" s="104">
        <v>82</v>
      </c>
      <c r="C83" s="2" t="s">
        <v>256</v>
      </c>
      <c r="D83" s="3" t="s">
        <v>109</v>
      </c>
      <c r="E83" s="3"/>
      <c r="F83" s="34">
        <v>44449</v>
      </c>
      <c r="G83" s="34">
        <v>46236</v>
      </c>
      <c r="H83" s="27" t="s">
        <v>250</v>
      </c>
      <c r="I83" s="111" t="s">
        <v>119</v>
      </c>
      <c r="J83" s="6" t="s">
        <v>510</v>
      </c>
      <c r="K83" s="2" t="s">
        <v>324</v>
      </c>
      <c r="L83" s="124" t="s">
        <v>512</v>
      </c>
      <c r="M83" s="116" t="s">
        <v>168</v>
      </c>
      <c r="N83" s="27" t="s">
        <v>120</v>
      </c>
      <c r="O83" s="27">
        <v>470</v>
      </c>
      <c r="P83" s="3" t="s">
        <v>428</v>
      </c>
      <c r="Q83" s="3" t="s">
        <v>428</v>
      </c>
      <c r="R83" s="3" t="s">
        <v>428</v>
      </c>
      <c r="S83" s="138" t="s">
        <v>428</v>
      </c>
      <c r="T83" s="132">
        <f>SUM(Table2[[#This Row],[A1toA3_GWP]:[C1toC4_GWP]])</f>
        <v>200.89361702127644</v>
      </c>
      <c r="U83" s="25">
        <f>-660/Table2[[#This Row],[DENSITY]]*1000</f>
        <v>-1404.2553191489362</v>
      </c>
      <c r="V83" s="149">
        <f>(1.42+753)/Table2[[#This Row],[DENSITY]]*1000</f>
        <v>1605.1489361702127</v>
      </c>
      <c r="W83" s="99">
        <f t="shared" si="2"/>
        <v>1</v>
      </c>
      <c r="X83" s="158" cm="1">
        <f t="array" ref="X83">IF($W83&lt;&gt;0,
IF(AND(
                         T83&gt;=_xlfn.PERCENTILE.INC(_xlfn._xlws.FILTER($T$2:$T$148, ($K$2:$K$148=K83)*($W$2:$W$148=1)),0.1),
                         T83&lt;=_xlfn.PERCENTILE.INC(_xlfn._xlws.FILTER($T$2:$T$148, ($K$3:$K$149=K83)*($W$2:$W$148=1)),0.9)
               ),1,0),
0)</f>
        <v>1</v>
      </c>
      <c r="Y83" s="165"/>
      <c r="Z83" s="2"/>
      <c r="AA83" s="68"/>
      <c r="AB83" s="45"/>
    </row>
    <row r="84" spans="1:28" customFormat="1" x14ac:dyDescent="0.45">
      <c r="A84" s="9" t="s">
        <v>260</v>
      </c>
      <c r="B84" s="104">
        <v>83</v>
      </c>
      <c r="C84" s="2" t="s">
        <v>258</v>
      </c>
      <c r="D84" s="3" t="s">
        <v>259</v>
      </c>
      <c r="E84" s="3"/>
      <c r="F84" s="34">
        <v>44844</v>
      </c>
      <c r="G84" s="34">
        <v>46670</v>
      </c>
      <c r="H84" s="27" t="s">
        <v>297</v>
      </c>
      <c r="I84" s="111" t="s">
        <v>119</v>
      </c>
      <c r="J84" s="6" t="s">
        <v>510</v>
      </c>
      <c r="K84" s="2" t="s">
        <v>324</v>
      </c>
      <c r="L84" s="124" t="s">
        <v>512</v>
      </c>
      <c r="M84" s="116" t="s">
        <v>168</v>
      </c>
      <c r="N84" s="27" t="s">
        <v>120</v>
      </c>
      <c r="O84" s="27">
        <v>470</v>
      </c>
      <c r="P84" s="3" t="s">
        <v>428</v>
      </c>
      <c r="Q84" s="3" t="s">
        <v>428</v>
      </c>
      <c r="R84" s="3" t="s">
        <v>428</v>
      </c>
      <c r="S84" s="138" t="s">
        <v>428</v>
      </c>
      <c r="T84" s="132">
        <f>SUM(Table2[[#This Row],[A1toA3_GWP]:[C1toC4_GWP]])</f>
        <v>418.08510638297867</v>
      </c>
      <c r="U84" s="25">
        <f>(-1000+28+6)/Table2[[#This Row],[DENSITY]]*1000</f>
        <v>-2055.3191489361702</v>
      </c>
      <c r="V84" s="149">
        <f>(430+86+640+6.5)/Table2[[#This Row],[DENSITY]]*1000</f>
        <v>2473.4042553191489</v>
      </c>
      <c r="W84" s="99">
        <f t="shared" si="2"/>
        <v>1</v>
      </c>
      <c r="X84" s="158" cm="1">
        <f t="array" ref="X84">IF($W84&lt;&gt;0,
IF(AND(
                         T84&gt;=_xlfn.PERCENTILE.INC(_xlfn._xlws.FILTER($T$2:$T$148, ($K$2:$K$148=K84)*($W$2:$W$148=1)),0.1),
                         T84&lt;=_xlfn.PERCENTILE.INC(_xlfn._xlws.FILTER($T$2:$T$148, ($K$3:$K$149=K84)*($W$2:$W$148=1)),0.9)
               ),1,0),
0)</f>
        <v>1</v>
      </c>
      <c r="Y84" s="165"/>
      <c r="Z84" s="2"/>
      <c r="AA84" s="68"/>
      <c r="AB84" s="45"/>
    </row>
    <row r="85" spans="1:28" customFormat="1" x14ac:dyDescent="0.45">
      <c r="A85" s="9" t="s">
        <v>261</v>
      </c>
      <c r="B85" s="104">
        <v>84</v>
      </c>
      <c r="C85" s="2" t="s">
        <v>262</v>
      </c>
      <c r="D85" s="3" t="s">
        <v>122</v>
      </c>
      <c r="E85" s="3"/>
      <c r="F85" s="34"/>
      <c r="G85" s="34"/>
      <c r="H85" s="27"/>
      <c r="I85" s="111"/>
      <c r="J85" s="6" t="s">
        <v>510</v>
      </c>
      <c r="K85" s="2" t="s">
        <v>324</v>
      </c>
      <c r="L85" s="124" t="s">
        <v>512</v>
      </c>
      <c r="M85" s="116" t="s">
        <v>168</v>
      </c>
      <c r="N85" s="27" t="s">
        <v>120</v>
      </c>
      <c r="O85" s="27">
        <v>470</v>
      </c>
      <c r="P85" s="3" t="s">
        <v>428</v>
      </c>
      <c r="Q85" s="3" t="s">
        <v>428</v>
      </c>
      <c r="R85" s="3" t="s">
        <v>428</v>
      </c>
      <c r="S85" s="138" t="s">
        <v>428</v>
      </c>
      <c r="T85" s="132">
        <f>SUM(Table2[[#This Row],[A1toA3_GWP]:[C1toC4_GWP]])</f>
        <v>349.0042553191488</v>
      </c>
      <c r="U85" s="25">
        <f>(-699+7.56+97)/Table2[[#This Row],[DENSITY]]*1000</f>
        <v>-1264.7659574468087</v>
      </c>
      <c r="V85" s="149">
        <f>(0.472+758)/Table2[[#This Row],[DENSITY]]*1000</f>
        <v>1613.7702127659575</v>
      </c>
      <c r="W85" s="99">
        <f t="shared" si="2"/>
        <v>1</v>
      </c>
      <c r="X85" s="158" cm="1">
        <f t="array" ref="X85">IF($W85&lt;&gt;0,
IF(AND(
                         T85&gt;=_xlfn.PERCENTILE.INC(_xlfn._xlws.FILTER($T$2:$T$148, ($K$2:$K$148=K85)*($W$2:$W$148=1)),0.1),
                         T85&lt;=_xlfn.PERCENTILE.INC(_xlfn._xlws.FILTER($T$2:$T$148, ($K$3:$K$149=K85)*($W$2:$W$148=1)),0.9)
               ),1,0),
0)</f>
        <v>1</v>
      </c>
      <c r="Y85" s="165"/>
      <c r="Z85" s="2"/>
      <c r="AA85" s="68"/>
      <c r="AB85" s="45"/>
    </row>
    <row r="86" spans="1:28" customFormat="1" x14ac:dyDescent="0.45">
      <c r="A86" s="9" t="s">
        <v>265</v>
      </c>
      <c r="B86" s="104">
        <v>85</v>
      </c>
      <c r="C86" s="22" t="s">
        <v>263</v>
      </c>
      <c r="D86" s="3" t="s">
        <v>264</v>
      </c>
      <c r="E86" s="3"/>
      <c r="F86" s="34">
        <v>43914</v>
      </c>
      <c r="G86" s="34">
        <v>45740</v>
      </c>
      <c r="H86" s="27" t="s">
        <v>66</v>
      </c>
      <c r="I86" s="111" t="s">
        <v>119</v>
      </c>
      <c r="J86" s="6" t="s">
        <v>510</v>
      </c>
      <c r="K86" s="2" t="s">
        <v>324</v>
      </c>
      <c r="L86" s="124" t="s">
        <v>512</v>
      </c>
      <c r="M86" s="116" t="s">
        <v>168</v>
      </c>
      <c r="N86" s="27" t="s">
        <v>120</v>
      </c>
      <c r="O86" s="27">
        <v>424</v>
      </c>
      <c r="P86" s="3" t="s">
        <v>428</v>
      </c>
      <c r="Q86" s="3" t="s">
        <v>428</v>
      </c>
      <c r="R86" s="3" t="s">
        <v>428</v>
      </c>
      <c r="S86" s="138" t="s">
        <v>428</v>
      </c>
      <c r="T86" s="132">
        <f>SUM(Table2[[#This Row],[A1toA3_GWP]:[C1toC4_GWP]])</f>
        <v>244.19174528301892</v>
      </c>
      <c r="U86" s="25">
        <f>(-597)/Table2[[#This Row],[DENSITY]]*1000</f>
        <v>-1408.0188679245282</v>
      </c>
      <c r="V86" s="149">
        <f>(3.52+697+0.0173)/Table2[[#This Row],[DENSITY]]*1000</f>
        <v>1652.2106132075471</v>
      </c>
      <c r="W86" s="99">
        <f t="shared" si="2"/>
        <v>1</v>
      </c>
      <c r="X86" s="158" cm="1">
        <f t="array" ref="X86">IF($W86&lt;&gt;0,
IF(AND(
                         T86&gt;=_xlfn.PERCENTILE.INC(_xlfn._xlws.FILTER($T$2:$T$148, ($K$2:$K$148=K86)*($W$2:$W$148=1)),0.1),
                         T86&lt;=_xlfn.PERCENTILE.INC(_xlfn._xlws.FILTER($T$2:$T$148, ($K$3:$K$149=K86)*($W$2:$W$148=1)),0.9)
               ),1,0),
0)</f>
        <v>1</v>
      </c>
      <c r="Y86" s="165"/>
      <c r="Z86" s="2"/>
      <c r="AA86" s="68"/>
      <c r="AB86" s="45"/>
    </row>
    <row r="87" spans="1:28" customFormat="1" x14ac:dyDescent="0.45">
      <c r="A87" s="9" t="s">
        <v>266</v>
      </c>
      <c r="B87" s="104">
        <v>86</v>
      </c>
      <c r="C87" s="22" t="s">
        <v>268</v>
      </c>
      <c r="D87" s="3" t="s">
        <v>267</v>
      </c>
      <c r="E87" s="3"/>
      <c r="F87" s="34">
        <v>43451</v>
      </c>
      <c r="G87" s="34">
        <v>45271</v>
      </c>
      <c r="H87" s="27" t="s">
        <v>56</v>
      </c>
      <c r="I87" s="111" t="s">
        <v>119</v>
      </c>
      <c r="J87" s="6" t="s">
        <v>510</v>
      </c>
      <c r="K87" s="2" t="s">
        <v>324</v>
      </c>
      <c r="L87" s="124" t="s">
        <v>512</v>
      </c>
      <c r="M87" s="116" t="s">
        <v>168</v>
      </c>
      <c r="N87" s="27" t="s">
        <v>120</v>
      </c>
      <c r="O87" s="27">
        <v>400</v>
      </c>
      <c r="P87" s="3" t="s">
        <v>428</v>
      </c>
      <c r="Q87" s="3" t="s">
        <v>428</v>
      </c>
      <c r="R87" s="3" t="s">
        <v>428</v>
      </c>
      <c r="S87" s="138" t="s">
        <v>428</v>
      </c>
      <c r="T87" s="132">
        <f>SUM(Table2[[#This Row],[A1toA3_GWP]:[C1toC4_GWP]])</f>
        <v>400</v>
      </c>
      <c r="U87" s="25">
        <f>(160)/Table2[[#This Row],[DENSITY]]*1000</f>
        <v>400</v>
      </c>
      <c r="V87" s="149"/>
      <c r="W87" s="99">
        <f t="shared" si="2"/>
        <v>1</v>
      </c>
      <c r="X87" s="158" cm="1">
        <f t="array" ref="X87">IF($W87&lt;&gt;0,
IF(AND(
                         T87&gt;=_xlfn.PERCENTILE.INC(_xlfn._xlws.FILTER($T$2:$T$148, ($K$2:$K$148=K87)*($W$2:$W$148=1)),0.1),
                         T87&lt;=_xlfn.PERCENTILE.INC(_xlfn._xlws.FILTER($T$2:$T$148, ($K$3:$K$149=K87)*($W$2:$W$148=1)),0.9)
               ),1,0),
0)</f>
        <v>1</v>
      </c>
      <c r="Y87" s="165"/>
      <c r="Z87" s="2"/>
      <c r="AA87" s="68"/>
      <c r="AB87" s="45"/>
    </row>
    <row r="88" spans="1:28" customFormat="1" x14ac:dyDescent="0.45">
      <c r="A88" s="9" t="s">
        <v>271</v>
      </c>
      <c r="B88" s="104">
        <v>87</v>
      </c>
      <c r="C88" s="22" t="s">
        <v>273</v>
      </c>
      <c r="D88" s="3" t="s">
        <v>272</v>
      </c>
      <c r="E88" s="3"/>
      <c r="F88" s="34">
        <v>44628</v>
      </c>
      <c r="G88" s="34">
        <v>46454</v>
      </c>
      <c r="H88" s="27" t="s">
        <v>274</v>
      </c>
      <c r="I88" s="111" t="s">
        <v>119</v>
      </c>
      <c r="J88" s="6" t="s">
        <v>510</v>
      </c>
      <c r="K88" s="2" t="s">
        <v>324</v>
      </c>
      <c r="L88" s="124" t="s">
        <v>512</v>
      </c>
      <c r="M88" s="116" t="s">
        <v>168</v>
      </c>
      <c r="N88" s="27" t="s">
        <v>120</v>
      </c>
      <c r="O88" s="27">
        <v>470</v>
      </c>
      <c r="P88" s="3" t="s">
        <v>428</v>
      </c>
      <c r="Q88" s="3" t="s">
        <v>428</v>
      </c>
      <c r="R88" s="3" t="s">
        <v>428</v>
      </c>
      <c r="S88" s="138" t="s">
        <v>428</v>
      </c>
      <c r="T88" s="132">
        <f>SUM(Table2[[#This Row],[A1toA3_GWP]:[C1toC4_GWP]])</f>
        <v>207.063829787234</v>
      </c>
      <c r="U88" s="25">
        <f>(-690)/Table2[[#This Row],[DENSITY]]*1000</f>
        <v>-1468.0851063829787</v>
      </c>
      <c r="V88" s="149">
        <f>(1.32+786)/Table2[[#This Row],[DENSITY]]*1000</f>
        <v>1675.1489361702127</v>
      </c>
      <c r="W88" s="99">
        <f t="shared" si="2"/>
        <v>1</v>
      </c>
      <c r="X88" s="158" cm="1">
        <f t="array" ref="X88">IF($W88&lt;&gt;0,
IF(AND(
                         T88&gt;=_xlfn.PERCENTILE.INC(_xlfn._xlws.FILTER($T$2:$T$148, ($K$2:$K$148=K88)*($W$2:$W$148=1)),0.1),
                         T88&lt;=_xlfn.PERCENTILE.INC(_xlfn._xlws.FILTER($T$2:$T$148, ($K$3:$K$149=K88)*($W$2:$W$148=1)),0.9)
               ),1,0),
0)</f>
        <v>1</v>
      </c>
      <c r="Y88" s="165"/>
      <c r="Z88" s="2"/>
      <c r="AA88" s="68"/>
      <c r="AB88" s="45"/>
    </row>
    <row r="89" spans="1:28" customFormat="1" x14ac:dyDescent="0.45">
      <c r="A89" s="9" t="s">
        <v>276</v>
      </c>
      <c r="B89" s="104">
        <v>88</v>
      </c>
      <c r="C89" s="22" t="s">
        <v>275</v>
      </c>
      <c r="D89" s="3" t="s">
        <v>244</v>
      </c>
      <c r="E89" s="3"/>
      <c r="F89" s="34">
        <v>45454</v>
      </c>
      <c r="G89" s="34">
        <v>47280</v>
      </c>
      <c r="H89" s="27" t="s">
        <v>248</v>
      </c>
      <c r="I89" s="111" t="s">
        <v>104</v>
      </c>
      <c r="J89" s="6" t="s">
        <v>337</v>
      </c>
      <c r="K89" s="2" t="s">
        <v>324</v>
      </c>
      <c r="L89" s="124" t="s">
        <v>330</v>
      </c>
      <c r="M89" s="116" t="s">
        <v>168</v>
      </c>
      <c r="N89" s="27" t="s">
        <v>1</v>
      </c>
      <c r="O89" s="27">
        <v>463</v>
      </c>
      <c r="P89" s="3" t="s">
        <v>428</v>
      </c>
      <c r="Q89" s="3" t="s">
        <v>428</v>
      </c>
      <c r="R89" s="3" t="s">
        <v>428</v>
      </c>
      <c r="S89" s="138" t="s">
        <v>428</v>
      </c>
      <c r="T89" s="132">
        <f>SUM(Table2[[#This Row],[A1toA3_GWP]:[C1toC4_GWP]])</f>
        <v>116.63714902807783</v>
      </c>
      <c r="U89" s="25">
        <f>(-700)/Table2[[#This Row],[DENSITY]]*1000</f>
        <v>-1511.8790496760259</v>
      </c>
      <c r="V89" s="149">
        <f>(0.153+1.85+752)/Table2[[#This Row],[DENSITY]]*1000</f>
        <v>1628.5161987041038</v>
      </c>
      <c r="W89" s="99">
        <f t="shared" si="2"/>
        <v>1</v>
      </c>
      <c r="X89" s="158" cm="1">
        <f t="array" ref="X89">IF($W89&lt;&gt;0,
IF(AND(
                         T89&gt;=_xlfn.PERCENTILE.INC(_xlfn._xlws.FILTER($T$2:$T$148, ($K$2:$K$148=K89)*($W$2:$W$148=1)),0.1),
                         T89&lt;=_xlfn.PERCENTILE.INC(_xlfn._xlws.FILTER($T$2:$T$148, ($K$3:$K$149=K89)*($W$2:$W$148=1)),0.9)
               ),1,0),
0)</f>
        <v>1</v>
      </c>
      <c r="Y89" s="165"/>
      <c r="Z89" s="2" t="s">
        <v>435</v>
      </c>
      <c r="AA89" s="68"/>
      <c r="AB89" s="45"/>
    </row>
    <row r="90" spans="1:28" customFormat="1" x14ac:dyDescent="0.45">
      <c r="A90" s="9" t="s">
        <v>278</v>
      </c>
      <c r="B90" s="104">
        <v>89</v>
      </c>
      <c r="C90" s="22" t="s">
        <v>277</v>
      </c>
      <c r="D90" s="3" t="s">
        <v>244</v>
      </c>
      <c r="E90" s="3"/>
      <c r="F90" s="34">
        <v>43399</v>
      </c>
      <c r="G90" s="34">
        <v>45225</v>
      </c>
      <c r="H90" s="27" t="s">
        <v>248</v>
      </c>
      <c r="I90" s="111" t="s">
        <v>104</v>
      </c>
      <c r="J90" s="6" t="s">
        <v>337</v>
      </c>
      <c r="K90" s="2" t="s">
        <v>324</v>
      </c>
      <c r="L90" s="124" t="s">
        <v>330</v>
      </c>
      <c r="M90" s="116" t="s">
        <v>168</v>
      </c>
      <c r="N90" s="27" t="s">
        <v>1</v>
      </c>
      <c r="O90" s="27">
        <v>430</v>
      </c>
      <c r="P90" s="3" t="s">
        <v>428</v>
      </c>
      <c r="Q90" s="3" t="s">
        <v>428</v>
      </c>
      <c r="R90" s="3" t="s">
        <v>428</v>
      </c>
      <c r="S90" s="138" t="s">
        <v>428</v>
      </c>
      <c r="T90" s="174">
        <f>SUM(Table2[[#This Row],[A1toA3_GWP]:[C1toC4_GWP]])</f>
        <v>-1534.8837209302326</v>
      </c>
      <c r="U90" s="175">
        <f>(-660)/Table2[[#This Row],[DENSITY]]*1000</f>
        <v>-1534.8837209302326</v>
      </c>
      <c r="V90" s="176" t="s">
        <v>168</v>
      </c>
      <c r="W90" s="174">
        <f t="shared" si="2"/>
        <v>0</v>
      </c>
      <c r="X90" s="158" cm="1">
        <f t="array" ref="X90">IF($W90&lt;&gt;0,
IF(AND(
                         T90&gt;=_xlfn.PERCENTILE.INC(_xlfn._xlws.FILTER($T$2:$T$148, ($K$2:$K$148=K90)*($W$2:$W$148=1)),0.1),
                         T90&lt;=_xlfn.PERCENTILE.INC(_xlfn._xlws.FILTER($T$2:$T$148, ($K$3:$K$149=K90)*($W$2:$W$148=1)),0.9)
               ),1,0),
0)</f>
        <v>0</v>
      </c>
      <c r="Y90" s="165"/>
      <c r="Z90" s="2" t="s">
        <v>433</v>
      </c>
      <c r="AA90" s="68"/>
      <c r="AB90" s="45"/>
    </row>
    <row r="91" spans="1:28" customFormat="1" x14ac:dyDescent="0.45">
      <c r="A91" s="9" t="s">
        <v>279</v>
      </c>
      <c r="B91" s="104">
        <v>90</v>
      </c>
      <c r="C91" s="22" t="s">
        <v>280</v>
      </c>
      <c r="D91" s="3" t="s">
        <v>281</v>
      </c>
      <c r="E91" s="3"/>
      <c r="F91" s="34">
        <v>44830</v>
      </c>
      <c r="G91" s="34">
        <v>46655</v>
      </c>
      <c r="H91" s="27" t="s">
        <v>274</v>
      </c>
      <c r="I91" s="111" t="s">
        <v>104</v>
      </c>
      <c r="J91" s="6" t="s">
        <v>337</v>
      </c>
      <c r="K91" s="2" t="s">
        <v>324</v>
      </c>
      <c r="L91" s="124" t="s">
        <v>330</v>
      </c>
      <c r="M91" s="116" t="s">
        <v>168</v>
      </c>
      <c r="N91" s="27" t="s">
        <v>1</v>
      </c>
      <c r="O91" s="27">
        <v>480</v>
      </c>
      <c r="P91" s="3" t="s">
        <v>428</v>
      </c>
      <c r="Q91" s="3" t="s">
        <v>428</v>
      </c>
      <c r="R91" s="3" t="s">
        <v>428</v>
      </c>
      <c r="S91" s="138" t="s">
        <v>428</v>
      </c>
      <c r="T91" s="132">
        <f>SUM(Table2[[#This Row],[A1toA3_GWP]:[C1toC4_GWP]])</f>
        <v>291.03750000000014</v>
      </c>
      <c r="U91" s="25">
        <f>(-680+6.04+37.1)/Table2[[#This Row],[DENSITY]]*1000</f>
        <v>-1326.7916666666665</v>
      </c>
      <c r="V91" s="149">
        <f>(0.558+776)/Table2[[#This Row],[DENSITY]]*1000</f>
        <v>1617.8291666666667</v>
      </c>
      <c r="W91" s="99">
        <f t="shared" si="2"/>
        <v>1</v>
      </c>
      <c r="X91" s="158" cm="1">
        <f t="array" ref="X91">IF($W91&lt;&gt;0,
IF(AND(
                         T91&gt;=_xlfn.PERCENTILE.INC(_xlfn._xlws.FILTER($T$2:$T$148, ($K$2:$K$148=K91)*($W$2:$W$148=1)),0.1),
                         T91&lt;=_xlfn.PERCENTILE.INC(_xlfn._xlws.FILTER($T$2:$T$148, ($K$3:$K$149=K91)*($W$2:$W$148=1)),0.9)
               ),1,0),
0)</f>
        <v>1</v>
      </c>
      <c r="Y91" s="165"/>
      <c r="Z91" s="2" t="s">
        <v>436</v>
      </c>
      <c r="AA91" s="68"/>
      <c r="AB91" s="45"/>
    </row>
    <row r="92" spans="1:28" customFormat="1" x14ac:dyDescent="0.45">
      <c r="A92" s="9" t="s">
        <v>283</v>
      </c>
      <c r="B92" s="104">
        <v>91</v>
      </c>
      <c r="C92" s="22" t="s">
        <v>282</v>
      </c>
      <c r="D92" s="3" t="s">
        <v>284</v>
      </c>
      <c r="E92" s="3"/>
      <c r="F92" s="34">
        <v>44746</v>
      </c>
      <c r="G92" s="34">
        <v>46572</v>
      </c>
      <c r="H92" s="27" t="s">
        <v>285</v>
      </c>
      <c r="I92" s="111" t="s">
        <v>104</v>
      </c>
      <c r="J92" s="6" t="s">
        <v>337</v>
      </c>
      <c r="K92" s="2" t="s">
        <v>324</v>
      </c>
      <c r="L92" s="124" t="s">
        <v>330</v>
      </c>
      <c r="M92" s="116" t="s">
        <v>168</v>
      </c>
      <c r="N92" s="27" t="s">
        <v>1</v>
      </c>
      <c r="O92" s="27">
        <v>430</v>
      </c>
      <c r="P92" s="3" t="s">
        <v>428</v>
      </c>
      <c r="Q92" s="3" t="s">
        <v>428</v>
      </c>
      <c r="R92" s="3" t="s">
        <v>428</v>
      </c>
      <c r="S92" s="138" t="s">
        <v>428</v>
      </c>
      <c r="T92" s="132">
        <f>SUM(Table2[[#This Row],[A1toA3_GWP]:[C1toC4_GWP]])</f>
        <v>319.93023255813955</v>
      </c>
      <c r="U92" s="25">
        <f>(-556)/Table2[[#This Row],[DENSITY]]*1000</f>
        <v>-1293.0232558139535</v>
      </c>
      <c r="V92" s="149">
        <f>(2.57+691)/Table2[[#This Row],[DENSITY]]*1000</f>
        <v>1612.953488372093</v>
      </c>
      <c r="W92" s="99">
        <f t="shared" si="2"/>
        <v>1</v>
      </c>
      <c r="X92" s="158" cm="1">
        <f t="array" ref="X92">IF($W92&lt;&gt;0,
IF(AND(
                         T92&gt;=_xlfn.PERCENTILE.INC(_xlfn._xlws.FILTER($T$2:$T$148, ($K$2:$K$148=K92)*($W$2:$W$148=1)),0.1),
                         T92&lt;=_xlfn.PERCENTILE.INC(_xlfn._xlws.FILTER($T$2:$T$148, ($K$3:$K$149=K92)*($W$2:$W$148=1)),0.9)
               ),1,0),
0)</f>
        <v>1</v>
      </c>
      <c r="Y92" s="165"/>
      <c r="Z92" s="2" t="s">
        <v>438</v>
      </c>
      <c r="AA92" s="68" t="s">
        <v>437</v>
      </c>
      <c r="AB92" s="45"/>
    </row>
    <row r="93" spans="1:28" customFormat="1" x14ac:dyDescent="0.45">
      <c r="A93" s="9" t="s">
        <v>286</v>
      </c>
      <c r="B93" s="104">
        <v>92</v>
      </c>
      <c r="C93" s="22" t="s">
        <v>287</v>
      </c>
      <c r="D93" s="3" t="s">
        <v>288</v>
      </c>
      <c r="E93" s="3"/>
      <c r="F93" s="34" t="s">
        <v>289</v>
      </c>
      <c r="G93" s="34">
        <v>46659</v>
      </c>
      <c r="H93" s="27" t="s">
        <v>248</v>
      </c>
      <c r="I93" s="111" t="s">
        <v>104</v>
      </c>
      <c r="J93" s="6" t="s">
        <v>337</v>
      </c>
      <c r="K93" s="2" t="s">
        <v>324</v>
      </c>
      <c r="L93" s="124" t="s">
        <v>330</v>
      </c>
      <c r="M93" s="116" t="s">
        <v>168</v>
      </c>
      <c r="N93" s="27" t="s">
        <v>1</v>
      </c>
      <c r="O93" s="27">
        <v>462</v>
      </c>
      <c r="P93" s="3" t="s">
        <v>428</v>
      </c>
      <c r="Q93" s="3" t="s">
        <v>428</v>
      </c>
      <c r="R93" s="3" t="s">
        <v>428</v>
      </c>
      <c r="S93" s="138" t="s">
        <v>428</v>
      </c>
      <c r="T93" s="132">
        <f>SUM(Table2[[#This Row],[A1toA3_GWP]:[C1toC4_GWP]])</f>
        <v>169.16883116883105</v>
      </c>
      <c r="U93" s="25">
        <f>(-674)/Table2[[#This Row],[DENSITY]]*1000</f>
        <v>-1458.8744588744589</v>
      </c>
      <c r="V93" s="149">
        <f>(0.116+1.04+751)/Table2[[#This Row],[DENSITY]]*1000</f>
        <v>1628.04329004329</v>
      </c>
      <c r="W93" s="99">
        <f t="shared" si="2"/>
        <v>1</v>
      </c>
      <c r="X93" s="158" cm="1">
        <f t="array" ref="X93">IF($W93&lt;&gt;0,
IF(AND(
                         T93&gt;=_xlfn.PERCENTILE.INC(_xlfn._xlws.FILTER($T$2:$T$148, ($K$2:$K$148=K93)*($W$2:$W$148=1)),0.1),
                         T93&lt;=_xlfn.PERCENTILE.INC(_xlfn._xlws.FILTER($T$2:$T$148, ($K$3:$K$149=K93)*($W$2:$W$148=1)),0.9)
               ),1,0),
0)</f>
        <v>1</v>
      </c>
      <c r="Y93" s="165"/>
      <c r="Z93" s="2" t="s">
        <v>435</v>
      </c>
      <c r="AA93" s="68"/>
      <c r="AB93" s="45"/>
    </row>
    <row r="94" spans="1:28" customFormat="1" x14ac:dyDescent="0.45">
      <c r="A94" s="9" t="s">
        <v>290</v>
      </c>
      <c r="B94" s="104">
        <v>93</v>
      </c>
      <c r="C94" s="22" t="s">
        <v>291</v>
      </c>
      <c r="D94" s="3" t="s">
        <v>292</v>
      </c>
      <c r="E94" s="3"/>
      <c r="F94" s="34">
        <v>43325</v>
      </c>
      <c r="G94" s="34">
        <v>45334</v>
      </c>
      <c r="H94" s="27" t="s">
        <v>274</v>
      </c>
      <c r="I94" s="111" t="s">
        <v>104</v>
      </c>
      <c r="J94" s="6" t="s">
        <v>337</v>
      </c>
      <c r="K94" s="2" t="s">
        <v>324</v>
      </c>
      <c r="L94" s="124" t="s">
        <v>330</v>
      </c>
      <c r="M94" s="116" t="s">
        <v>168</v>
      </c>
      <c r="N94" s="27" t="s">
        <v>1</v>
      </c>
      <c r="O94" s="27">
        <v>483</v>
      </c>
      <c r="P94" s="3" t="s">
        <v>428</v>
      </c>
      <c r="Q94" s="3" t="s">
        <v>428</v>
      </c>
      <c r="R94" s="3" t="s">
        <v>428</v>
      </c>
      <c r="S94" s="138" t="s">
        <v>428</v>
      </c>
      <c r="T94" s="132">
        <f>SUM(Table2[[#This Row],[A1toA3_GWP]:[C1toC4_GWP]])</f>
        <v>264.56521739130449</v>
      </c>
      <c r="U94" s="25">
        <f>(-751+32.1+68.2)/Table2[[#This Row],[DENSITY]]*1000</f>
        <v>-1347.2049689440992</v>
      </c>
      <c r="V94" s="149">
        <f>(0.485+778)/Table2[[#This Row],[DENSITY]]*1000</f>
        <v>1611.7701863354037</v>
      </c>
      <c r="W94" s="99">
        <f t="shared" si="2"/>
        <v>1</v>
      </c>
      <c r="X94" s="158" cm="1">
        <f t="array" ref="X94">IF($W94&lt;&gt;0,
IF(AND(
                         T94&gt;=_xlfn.PERCENTILE.INC(_xlfn._xlws.FILTER($T$2:$T$148, ($K$2:$K$148=K94)*($W$2:$W$148=1)),0.1),
                         T94&lt;=_xlfn.PERCENTILE.INC(_xlfn._xlws.FILTER($T$2:$T$148, ($K$3:$K$149=K94)*($W$2:$W$148=1)),0.9)
               ),1,0),
0)</f>
        <v>1</v>
      </c>
      <c r="Y94" s="165"/>
      <c r="Z94" s="2"/>
      <c r="AA94" s="68"/>
      <c r="AB94" s="45"/>
    </row>
    <row r="95" spans="1:28" customFormat="1" x14ac:dyDescent="0.45">
      <c r="A95" s="9" t="s">
        <v>294</v>
      </c>
      <c r="B95" s="104">
        <v>94</v>
      </c>
      <c r="C95" s="22" t="s">
        <v>293</v>
      </c>
      <c r="D95" s="3" t="s">
        <v>295</v>
      </c>
      <c r="E95" s="3"/>
      <c r="F95" s="34">
        <v>44475</v>
      </c>
      <c r="G95" s="34">
        <v>6.1020260000000004</v>
      </c>
      <c r="H95" s="27" t="s">
        <v>297</v>
      </c>
      <c r="I95" s="111" t="s">
        <v>104</v>
      </c>
      <c r="J95" s="6" t="s">
        <v>337</v>
      </c>
      <c r="K95" s="2" t="s">
        <v>324</v>
      </c>
      <c r="L95" s="124" t="s">
        <v>330</v>
      </c>
      <c r="M95" s="116" t="s">
        <v>168</v>
      </c>
      <c r="N95" s="27" t="s">
        <v>1</v>
      </c>
      <c r="O95" s="27">
        <v>440</v>
      </c>
      <c r="P95" s="3" t="s">
        <v>428</v>
      </c>
      <c r="Q95" s="3" t="s">
        <v>428</v>
      </c>
      <c r="R95" s="3" t="s">
        <v>428</v>
      </c>
      <c r="S95" s="138" t="s">
        <v>428</v>
      </c>
      <c r="T95" s="132">
        <f>SUM(Table2[[#This Row],[A1toA3_GWP]:[C1toC4_GWP]])</f>
        <v>765.45454545454561</v>
      </c>
      <c r="U95" s="25">
        <f>(-371)/Table2[[#This Row],[DENSITY]]*1000</f>
        <v>-843.18181818181813</v>
      </c>
      <c r="V95" s="149">
        <f>(28.8+679)/Table2[[#This Row],[DENSITY]]*1000</f>
        <v>1608.6363636363637</v>
      </c>
      <c r="W95" s="99">
        <f t="shared" si="2"/>
        <v>1</v>
      </c>
      <c r="X95" s="158" cm="1">
        <f t="array" ref="X95">IF($W95&lt;&gt;0,
IF(AND(
                         T95&gt;=_xlfn.PERCENTILE.INC(_xlfn._xlws.FILTER($T$2:$T$148, ($K$2:$K$148=K95)*($W$2:$W$148=1)),0.1),
                         T95&lt;=_xlfn.PERCENTILE.INC(_xlfn._xlws.FILTER($T$2:$T$148, ($K$3:$K$149=K95)*($W$2:$W$148=1)),0.9)
               ),1,0),
0)</f>
        <v>0</v>
      </c>
      <c r="Y95" s="165"/>
      <c r="Z95" s="2"/>
      <c r="AA95" s="68"/>
      <c r="AB95" s="45"/>
    </row>
    <row r="96" spans="1:28" customFormat="1" x14ac:dyDescent="0.45">
      <c r="A96" s="9" t="s">
        <v>300</v>
      </c>
      <c r="B96" s="104">
        <v>95</v>
      </c>
      <c r="C96" s="22" t="s">
        <v>298</v>
      </c>
      <c r="D96" s="3" t="s">
        <v>299</v>
      </c>
      <c r="E96" s="3"/>
      <c r="F96" s="34">
        <v>44293</v>
      </c>
      <c r="G96" s="34">
        <v>46119</v>
      </c>
      <c r="H96" s="27" t="s">
        <v>296</v>
      </c>
      <c r="I96" s="111" t="s">
        <v>104</v>
      </c>
      <c r="J96" s="6" t="s">
        <v>337</v>
      </c>
      <c r="K96" s="2" t="s">
        <v>324</v>
      </c>
      <c r="L96" s="124" t="s">
        <v>330</v>
      </c>
      <c r="M96" s="116" t="s">
        <v>168</v>
      </c>
      <c r="N96" s="27" t="s">
        <v>1</v>
      </c>
      <c r="O96" s="27">
        <v>467</v>
      </c>
      <c r="P96" s="3" t="s">
        <v>428</v>
      </c>
      <c r="Q96" s="3" t="s">
        <v>428</v>
      </c>
      <c r="R96" s="3" t="s">
        <v>428</v>
      </c>
      <c r="S96" s="138" t="s">
        <v>428</v>
      </c>
      <c r="T96" s="174">
        <f>SUM(Table2[[#This Row],[A1toA3_GWP]:[C1toC4_GWP]])</f>
        <v>-220.42826552462543</v>
      </c>
      <c r="U96" s="175">
        <f>(-814)/Table2[[#This Row],[DENSITY]]*1000</f>
        <v>-1743.0406852248395</v>
      </c>
      <c r="V96" s="176">
        <f>(1.57+6.49+703)/Table2[[#This Row],[DENSITY]]*1000</f>
        <v>1522.6124197002141</v>
      </c>
      <c r="W96" s="174">
        <f t="shared" si="2"/>
        <v>0</v>
      </c>
      <c r="X96" s="158" cm="1">
        <f t="array" ref="X96">IF($W96&lt;&gt;0,
IF(AND(
                         T96&gt;=_xlfn.PERCENTILE.INC(_xlfn._xlws.FILTER($T$2:$T$148, ($K$2:$K$148=K96)*($W$2:$W$148=1)),0.1),
                         T96&lt;=_xlfn.PERCENTILE.INC(_xlfn._xlws.FILTER($T$2:$T$148, ($K$3:$K$149=K96)*($W$2:$W$148=1)),0.9)
               ),1,0),
0)</f>
        <v>0</v>
      </c>
      <c r="Y96" s="165"/>
      <c r="Z96" s="2" t="s">
        <v>439</v>
      </c>
      <c r="AA96" s="68"/>
      <c r="AB96" s="45"/>
    </row>
    <row r="97" spans="1:28" customFormat="1" x14ac:dyDescent="0.45">
      <c r="A97" s="9" t="s">
        <v>306</v>
      </c>
      <c r="B97" s="104">
        <v>96</v>
      </c>
      <c r="C97" s="22" t="s">
        <v>305</v>
      </c>
      <c r="D97" s="3" t="s">
        <v>307</v>
      </c>
      <c r="E97" s="3"/>
      <c r="F97" s="34">
        <v>44218</v>
      </c>
      <c r="G97" s="34">
        <v>46044</v>
      </c>
      <c r="H97" s="27" t="s">
        <v>248</v>
      </c>
      <c r="I97" s="111" t="s">
        <v>115</v>
      </c>
      <c r="J97" s="6" t="s">
        <v>338</v>
      </c>
      <c r="K97" s="2" t="s">
        <v>324</v>
      </c>
      <c r="L97" s="124" t="s">
        <v>331</v>
      </c>
      <c r="M97" s="116" t="s">
        <v>168</v>
      </c>
      <c r="N97" s="27" t="s">
        <v>120</v>
      </c>
      <c r="O97" s="27">
        <v>489</v>
      </c>
      <c r="P97" s="3" t="s">
        <v>428</v>
      </c>
      <c r="Q97" s="3" t="s">
        <v>428</v>
      </c>
      <c r="R97" s="3" t="s">
        <v>428</v>
      </c>
      <c r="S97" s="138" t="s">
        <v>428</v>
      </c>
      <c r="T97" s="132">
        <f>SUM(Table2[[#This Row],[A1toA3_GWP]:[C1toC4_GWP]])</f>
        <v>75.664621676891556</v>
      </c>
      <c r="U97" s="25">
        <f>(-744)/Table2[[#This Row],[DENSITY]]*1000</f>
        <v>-1521.4723926380368</v>
      </c>
      <c r="V97" s="149">
        <f>(781)/Table2[[#This Row],[DENSITY]]*1000</f>
        <v>1597.1370143149284</v>
      </c>
      <c r="W97" s="99">
        <f t="shared" si="2"/>
        <v>1</v>
      </c>
      <c r="X97" s="158" cm="1">
        <f t="array" ref="X97">IF($W97&lt;&gt;0,
IF(AND(
                         T97&gt;=_xlfn.PERCENTILE.INC(_xlfn._xlws.FILTER($T$2:$T$148, ($K$2:$K$148=K97)*($W$2:$W$148=1)),0.1),
                         T97&lt;=_xlfn.PERCENTILE.INC(_xlfn._xlws.FILTER($T$2:$T$148, ($K$3:$K$149=K97)*($W$2:$W$148=1)),0.9)
               ),1,0),
0)</f>
        <v>0</v>
      </c>
      <c r="Y97" s="165"/>
      <c r="Z97" s="2" t="s">
        <v>419</v>
      </c>
      <c r="AA97" s="68"/>
      <c r="AB97" s="45"/>
    </row>
    <row r="98" spans="1:28" customFormat="1" x14ac:dyDescent="0.45">
      <c r="A98" s="9" t="s">
        <v>310</v>
      </c>
      <c r="B98" s="104">
        <v>97</v>
      </c>
      <c r="C98" s="22" t="s">
        <v>308</v>
      </c>
      <c r="D98" s="3" t="s">
        <v>288</v>
      </c>
      <c r="E98" s="3"/>
      <c r="F98" s="34">
        <v>44158</v>
      </c>
      <c r="G98" s="34">
        <v>45984</v>
      </c>
      <c r="H98" s="34" t="s">
        <v>303</v>
      </c>
      <c r="I98" s="111" t="s">
        <v>115</v>
      </c>
      <c r="J98" s="6" t="s">
        <v>338</v>
      </c>
      <c r="K98" s="2" t="s">
        <v>324</v>
      </c>
      <c r="L98" s="124" t="s">
        <v>331</v>
      </c>
      <c r="M98" s="116" t="s">
        <v>168</v>
      </c>
      <c r="N98" s="27" t="s">
        <v>120</v>
      </c>
      <c r="O98" s="27">
        <v>508</v>
      </c>
      <c r="P98" s="3" t="s">
        <v>428</v>
      </c>
      <c r="Q98" s="3" t="s">
        <v>428</v>
      </c>
      <c r="R98" s="3" t="s">
        <v>428</v>
      </c>
      <c r="S98" s="138" t="s">
        <v>428</v>
      </c>
      <c r="T98" s="132">
        <f>SUM(Table2[[#This Row],[A1toA3_GWP]:[C1toC4_GWP]])</f>
        <v>140.61811023622022</v>
      </c>
      <c r="U98" s="25">
        <f>(-738)/Table2[[#This Row],[DENSITY]]*1000</f>
        <v>-1452.7559055118111</v>
      </c>
      <c r="V98" s="149">
        <f>(5.43+804+0.004)/Table2[[#This Row],[DENSITY]]*1000</f>
        <v>1593.3740157480313</v>
      </c>
      <c r="W98" s="99">
        <f t="shared" si="2"/>
        <v>1</v>
      </c>
      <c r="X98" s="158" cm="1">
        <f t="array" ref="X98">IF($W98&lt;&gt;0,
IF(AND(
                         T98&gt;=_xlfn.PERCENTILE.INC(_xlfn._xlws.FILTER($T$2:$T$148, ($K$2:$K$148=K98)*($W$2:$W$148=1)),0.1),
                         T98&lt;=_xlfn.PERCENTILE.INC(_xlfn._xlws.FILTER($T$2:$T$148, ($K$3:$K$149=K98)*($W$2:$W$148=1)),0.9)
               ),1,0),
0)</f>
        <v>1</v>
      </c>
      <c r="Y98" s="165"/>
      <c r="Z98" s="2" t="s">
        <v>418</v>
      </c>
      <c r="AA98" s="68"/>
      <c r="AB98" s="45"/>
    </row>
    <row r="99" spans="1:28" customFormat="1" x14ac:dyDescent="0.45">
      <c r="A99" s="9" t="s">
        <v>311</v>
      </c>
      <c r="B99" s="104">
        <v>98</v>
      </c>
      <c r="C99" s="22" t="s">
        <v>309</v>
      </c>
      <c r="D99" s="3" t="s">
        <v>312</v>
      </c>
      <c r="E99" s="3"/>
      <c r="F99" s="34">
        <v>44849</v>
      </c>
      <c r="G99" s="34">
        <v>46674</v>
      </c>
      <c r="H99" s="34" t="s">
        <v>70</v>
      </c>
      <c r="I99" s="111" t="s">
        <v>115</v>
      </c>
      <c r="J99" s="6" t="s">
        <v>338</v>
      </c>
      <c r="K99" s="2" t="s">
        <v>324</v>
      </c>
      <c r="L99" s="124" t="s">
        <v>331</v>
      </c>
      <c r="M99" s="116" t="s">
        <v>168</v>
      </c>
      <c r="N99" s="27" t="s">
        <v>120</v>
      </c>
      <c r="O99" s="27">
        <v>480</v>
      </c>
      <c r="P99" s="3" t="s">
        <v>428</v>
      </c>
      <c r="Q99" s="3" t="s">
        <v>428</v>
      </c>
      <c r="R99" s="3" t="s">
        <v>428</v>
      </c>
      <c r="S99" s="138" t="s">
        <v>428</v>
      </c>
      <c r="T99" s="132">
        <f>SUM(Table2[[#This Row],[A1toA3_GWP]:[C1toC4_GWP]])</f>
        <v>108.33333333333303</v>
      </c>
      <c r="U99" s="25">
        <f>(-697)/Table2[[#This Row],[DENSITY]]*1000</f>
        <v>-1452.0833333333335</v>
      </c>
      <c r="V99" s="149">
        <f>(0.42+2.58+746)/Table2[[#This Row],[DENSITY]]*1000</f>
        <v>1560.4166666666665</v>
      </c>
      <c r="W99" s="99">
        <f t="shared" si="2"/>
        <v>1</v>
      </c>
      <c r="X99" s="158" cm="1">
        <f t="array" ref="X99">IF($W99&lt;&gt;0,
IF(AND(
                         T99&gt;=_xlfn.PERCENTILE.INC(_xlfn._xlws.FILTER($T$2:$T$148, ($K$2:$K$148=K99)*($W$2:$W$148=1)),0.1),
                         T99&lt;=_xlfn.PERCENTILE.INC(_xlfn._xlws.FILTER($T$2:$T$148, ($K$3:$K$149=K99)*($W$2:$W$148=1)),0.9)
               ),1,0),
0)</f>
        <v>1</v>
      </c>
      <c r="Y99" s="165"/>
      <c r="Z99" s="2" t="s">
        <v>421</v>
      </c>
      <c r="AA99" s="68"/>
      <c r="AB99" s="45"/>
    </row>
    <row r="100" spans="1:28" customFormat="1" x14ac:dyDescent="0.45">
      <c r="A100" s="9" t="s">
        <v>315</v>
      </c>
      <c r="B100" s="104">
        <v>99</v>
      </c>
      <c r="C100" s="22" t="s">
        <v>313</v>
      </c>
      <c r="D100" s="3" t="s">
        <v>314</v>
      </c>
      <c r="E100" s="3"/>
      <c r="F100" s="34">
        <v>44406</v>
      </c>
      <c r="G100" s="34">
        <v>46151</v>
      </c>
      <c r="H100" s="34" t="s">
        <v>250</v>
      </c>
      <c r="I100" s="111" t="s">
        <v>115</v>
      </c>
      <c r="J100" s="6" t="s">
        <v>338</v>
      </c>
      <c r="K100" s="2" t="s">
        <v>324</v>
      </c>
      <c r="L100" s="124" t="s">
        <v>331</v>
      </c>
      <c r="M100" s="116" t="s">
        <v>168</v>
      </c>
      <c r="N100" s="27" t="s">
        <v>120</v>
      </c>
      <c r="O100" s="27">
        <v>503</v>
      </c>
      <c r="P100" s="3" t="s">
        <v>428</v>
      </c>
      <c r="Q100" s="3" t="s">
        <v>428</v>
      </c>
      <c r="R100" s="3" t="s">
        <v>428</v>
      </c>
      <c r="S100" s="138" t="s">
        <v>428</v>
      </c>
      <c r="T100" s="132">
        <f>SUM(Table2[[#This Row],[A1toA3_GWP]:[C1toC4_GWP]])</f>
        <v>221.63021868787291</v>
      </c>
      <c r="U100" s="25">
        <f>(-696)/Table2[[#This Row],[DENSITY]]*1000</f>
        <v>-1383.6978131212722</v>
      </c>
      <c r="V100" s="149">
        <f>(1.48+806)/Table2[[#This Row],[DENSITY]]*1000</f>
        <v>1605.3280318091452</v>
      </c>
      <c r="W100" s="99">
        <f t="shared" si="2"/>
        <v>1</v>
      </c>
      <c r="X100" s="158" cm="1">
        <f t="array" ref="X100">IF($W100&lt;&gt;0,
IF(AND(
                         T100&gt;=_xlfn.PERCENTILE.INC(_xlfn._xlws.FILTER($T$2:$T$148, ($K$2:$K$148=K100)*($W$2:$W$148=1)),0.1),
                         T100&lt;=_xlfn.PERCENTILE.INC(_xlfn._xlws.FILTER($T$2:$T$148, ($K$3:$K$149=K100)*($W$2:$W$148=1)),0.9)
               ),1,0),
0)</f>
        <v>1</v>
      </c>
      <c r="Y100" s="165"/>
      <c r="Z100" s="2" t="s">
        <v>422</v>
      </c>
      <c r="AA100" s="68"/>
      <c r="AB100" s="45"/>
    </row>
    <row r="101" spans="1:28" customFormat="1" x14ac:dyDescent="0.45">
      <c r="A101" s="9" t="s">
        <v>317</v>
      </c>
      <c r="B101" s="104">
        <v>100</v>
      </c>
      <c r="C101" s="22" t="s">
        <v>316</v>
      </c>
      <c r="D101" s="3" t="s">
        <v>246</v>
      </c>
      <c r="E101" s="3"/>
      <c r="F101" s="34">
        <v>44237</v>
      </c>
      <c r="G101" s="34">
        <v>46064</v>
      </c>
      <c r="H101" s="34" t="s">
        <v>318</v>
      </c>
      <c r="I101" s="111" t="s">
        <v>115</v>
      </c>
      <c r="J101" s="6" t="s">
        <v>338</v>
      </c>
      <c r="K101" s="2" t="s">
        <v>324</v>
      </c>
      <c r="L101" s="124" t="s">
        <v>331</v>
      </c>
      <c r="M101" s="116" t="s">
        <v>168</v>
      </c>
      <c r="N101" s="27" t="s">
        <v>120</v>
      </c>
      <c r="O101" s="27">
        <v>426</v>
      </c>
      <c r="P101" s="3" t="s">
        <v>428</v>
      </c>
      <c r="Q101" s="3" t="s">
        <v>428</v>
      </c>
      <c r="R101" s="3" t="s">
        <v>428</v>
      </c>
      <c r="S101" s="138" t="s">
        <v>428</v>
      </c>
      <c r="T101" s="132">
        <f>SUM(Table2[[#This Row],[A1toA3_GWP]:[C1toC4_GWP]])</f>
        <v>136.03286384976536</v>
      </c>
      <c r="U101" s="25">
        <f>(-698)/Table2[[#This Row],[DENSITY]]*1000</f>
        <v>-1638.4976525821596</v>
      </c>
      <c r="V101" s="149">
        <f>(1.95+754)/Table2[[#This Row],[DENSITY]]*1000</f>
        <v>1774.530516431925</v>
      </c>
      <c r="W101" s="99">
        <f t="shared" si="2"/>
        <v>1</v>
      </c>
      <c r="X101" s="158" cm="1">
        <f t="array" ref="X101">IF($W101&lt;&gt;0,
IF(AND(
                         T101&gt;=_xlfn.PERCENTILE.INC(_xlfn._xlws.FILTER($T$2:$T$148, ($K$2:$K$148=K101)*($W$2:$W$148=1)),0.1),
                         T101&lt;=_xlfn.PERCENTILE.INC(_xlfn._xlws.FILTER($T$2:$T$148, ($K$3:$K$149=K101)*($W$2:$W$148=1)),0.9)
               ),1,0),
0)</f>
        <v>1</v>
      </c>
      <c r="Y101" s="165"/>
      <c r="Z101" s="2" t="s">
        <v>423</v>
      </c>
      <c r="AA101" s="68" t="s">
        <v>425</v>
      </c>
      <c r="AB101" s="45"/>
    </row>
    <row r="102" spans="1:28" customFormat="1" x14ac:dyDescent="0.45">
      <c r="A102" s="9" t="s">
        <v>319</v>
      </c>
      <c r="B102" s="104">
        <v>101</v>
      </c>
      <c r="C102" s="22" t="s">
        <v>320</v>
      </c>
      <c r="D102" s="3" t="s">
        <v>321</v>
      </c>
      <c r="E102" s="3"/>
      <c r="F102" s="34">
        <v>44846</v>
      </c>
      <c r="G102" s="34">
        <v>46659</v>
      </c>
      <c r="H102" s="34" t="s">
        <v>322</v>
      </c>
      <c r="I102" s="111" t="s">
        <v>115</v>
      </c>
      <c r="J102" s="6" t="s">
        <v>338</v>
      </c>
      <c r="K102" s="2" t="s">
        <v>324</v>
      </c>
      <c r="L102" s="124" t="s">
        <v>331</v>
      </c>
      <c r="M102" s="116" t="s">
        <v>168</v>
      </c>
      <c r="N102" s="27" t="s">
        <v>120</v>
      </c>
      <c r="O102" s="27">
        <v>523</v>
      </c>
      <c r="P102" s="3" t="s">
        <v>428</v>
      </c>
      <c r="Q102" s="3" t="s">
        <v>428</v>
      </c>
      <c r="R102" s="3" t="s">
        <v>428</v>
      </c>
      <c r="S102" s="138" t="s">
        <v>428</v>
      </c>
      <c r="T102" s="132">
        <f>SUM(Table2[[#This Row],[A1toA3_GWP]:[C1toC4_GWP]])</f>
        <v>105.68068833651978</v>
      </c>
      <c r="U102" s="25">
        <f>(-752)/Table2[[#This Row],[DENSITY]]*1000</f>
        <v>-1437.8585086042067</v>
      </c>
      <c r="V102" s="149">
        <f>(0.341+6.93+800)/Table2[[#This Row],[DENSITY]]*1000</f>
        <v>1543.5391969407265</v>
      </c>
      <c r="W102" s="99">
        <f t="shared" si="2"/>
        <v>1</v>
      </c>
      <c r="X102" s="158" cm="1">
        <f t="array" ref="X102">IF($W102&lt;&gt;0,
IF(AND(
                         T102&gt;=_xlfn.PERCENTILE.INC(_xlfn._xlws.FILTER($T$2:$T$148, ($K$2:$K$148=K102)*($W$2:$W$148=1)),0.1),
                         T102&lt;=_xlfn.PERCENTILE.INC(_xlfn._xlws.FILTER($T$2:$T$148, ($K$3:$K$149=K102)*($W$2:$W$148=1)),0.9)
               ),1,0),
0)</f>
        <v>0</v>
      </c>
      <c r="Y102" s="165"/>
      <c r="Z102" s="2" t="s">
        <v>427</v>
      </c>
      <c r="AA102" s="68" t="s">
        <v>426</v>
      </c>
      <c r="AB102" s="45"/>
    </row>
    <row r="103" spans="1:28" customFormat="1" ht="14.65" thickBot="1" x14ac:dyDescent="0.5">
      <c r="A103" s="10" t="s">
        <v>467</v>
      </c>
      <c r="B103" s="105">
        <v>102</v>
      </c>
      <c r="C103" s="38" t="s">
        <v>469</v>
      </c>
      <c r="D103" s="5" t="s">
        <v>470</v>
      </c>
      <c r="E103" s="5"/>
      <c r="F103" s="35">
        <v>44312</v>
      </c>
      <c r="G103" s="35">
        <v>46138</v>
      </c>
      <c r="H103" s="35" t="s">
        <v>303</v>
      </c>
      <c r="I103" s="114" t="s">
        <v>104</v>
      </c>
      <c r="J103" s="7" t="s">
        <v>337</v>
      </c>
      <c r="K103" s="4" t="s">
        <v>324</v>
      </c>
      <c r="L103" s="125" t="s">
        <v>330</v>
      </c>
      <c r="M103" s="119" t="s">
        <v>168</v>
      </c>
      <c r="N103" s="30" t="s">
        <v>1</v>
      </c>
      <c r="O103" s="30">
        <v>468</v>
      </c>
      <c r="P103" s="5" t="s">
        <v>428</v>
      </c>
      <c r="Q103" s="5" t="s">
        <v>428</v>
      </c>
      <c r="R103" s="5" t="s">
        <v>428</v>
      </c>
      <c r="S103" s="141" t="s">
        <v>428</v>
      </c>
      <c r="T103" s="134">
        <f>SUM(Table2[[#This Row],[A1toA3_GWP]:[C1toC4_GWP]])</f>
        <v>80.555555555555657</v>
      </c>
      <c r="U103" s="24">
        <f>-726/Table2[[#This Row],[DENSITY]]*1000</f>
        <v>-1551.2820512820513</v>
      </c>
      <c r="V103" s="154">
        <f>(0.8+4.9+758)/Table2[[#This Row],[DENSITY]]*1000</f>
        <v>1631.8376068376069</v>
      </c>
      <c r="W103" s="144">
        <f>IF(OR($D103="Ecoinvent",$D103="Betonsortenrechner",$D103="KBOB",$T103&lt;=0),0,1)</f>
        <v>1</v>
      </c>
      <c r="X103" s="185" cm="1">
        <f t="array" ref="X103">IF($W103&lt;&gt;0,
IF(AND(
                         T103&gt;=_xlfn.PERCENTILE.INC(_xlfn._xlws.FILTER($T$2:$T$148, ($L$2:$L$148=L103)*($W$2:$W$148=1)),0.1),
                         T103&lt;=_xlfn.PERCENTILE.INC(_xlfn._xlws.FILTER($T$2:$T$148, ($L$2:$L$148=L103)*($W$2:$W$148=1)),0.9)
               ),1,0),
0)</f>
        <v>0</v>
      </c>
      <c r="Y103" s="168"/>
      <c r="Z103" s="4" t="s">
        <v>468</v>
      </c>
      <c r="AA103" s="38"/>
      <c r="AB103" s="45"/>
    </row>
    <row r="104" spans="1:28" s="16" customFormat="1" x14ac:dyDescent="0.45">
      <c r="A104" s="9" t="s">
        <v>371</v>
      </c>
      <c r="B104" s="104">
        <v>103</v>
      </c>
      <c r="C104" s="17"/>
      <c r="D104" s="199" t="s">
        <v>480</v>
      </c>
      <c r="E104" s="206">
        <v>6.0119999999999996</v>
      </c>
      <c r="F104" s="37"/>
      <c r="G104" s="37"/>
      <c r="H104" s="32" t="s">
        <v>53</v>
      </c>
      <c r="I104" s="113" t="s">
        <v>136</v>
      </c>
      <c r="J104" s="21" t="s">
        <v>335</v>
      </c>
      <c r="K104" s="17" t="s">
        <v>327</v>
      </c>
      <c r="L104" s="126" t="s">
        <v>329</v>
      </c>
      <c r="M104" s="17" t="s">
        <v>428</v>
      </c>
      <c r="N104" s="32"/>
      <c r="O104" s="32">
        <v>7850</v>
      </c>
      <c r="P104" s="18" t="s">
        <v>428</v>
      </c>
      <c r="Q104" s="18" t="s">
        <v>428</v>
      </c>
      <c r="R104" s="18" t="s">
        <v>428</v>
      </c>
      <c r="S104" s="142" t="s">
        <v>428</v>
      </c>
      <c r="T104" s="135">
        <f>SUM(Table2[[#This Row],[A1toA3_GWP]:[C1toC4_GWP]])</f>
        <v>737</v>
      </c>
      <c r="U104" s="89">
        <f>0.73*1000</f>
        <v>730</v>
      </c>
      <c r="V104" s="153">
        <f>0.007*1000</f>
        <v>7</v>
      </c>
      <c r="W104" s="52">
        <f t="shared" si="2"/>
        <v>1</v>
      </c>
      <c r="X104" s="156" cm="1">
        <f t="array" ref="X104">IF($W104&lt;&gt;0,
IF(AND(
                         T104&gt;=_xlfn.PERCENTILE.INC(_xlfn._xlws.FILTER($T$2:$T$148, ($L$2:$L$148=L104)*($W$2:$W$148=1)),0.1),
                         T104&lt;=_xlfn.PERCENTILE.INC(_xlfn._xlws.FILTER($T$2:$T$148, ($L$2:$L$148=L104)*($W$2:$W$148=1)),0.9)
               ),1,0),
0)</f>
        <v>1</v>
      </c>
      <c r="Y104" s="169"/>
      <c r="Z104" s="194" t="s">
        <v>494</v>
      </c>
      <c r="AA104" s="197"/>
      <c r="AB104" s="45"/>
    </row>
    <row r="105" spans="1:28" customFormat="1" x14ac:dyDescent="0.45">
      <c r="A105" s="9" t="s">
        <v>372</v>
      </c>
      <c r="B105" s="104">
        <v>104</v>
      </c>
      <c r="C105" s="2" t="s">
        <v>132</v>
      </c>
      <c r="D105" s="3" t="s">
        <v>133</v>
      </c>
      <c r="E105" s="3"/>
      <c r="F105" s="34">
        <v>43398</v>
      </c>
      <c r="G105" s="34">
        <v>45223</v>
      </c>
      <c r="H105" s="27" t="s">
        <v>54</v>
      </c>
      <c r="I105" s="111" t="s">
        <v>136</v>
      </c>
      <c r="J105" s="6" t="s">
        <v>335</v>
      </c>
      <c r="K105" s="2" t="s">
        <v>327</v>
      </c>
      <c r="L105" s="124" t="s">
        <v>329</v>
      </c>
      <c r="M105" s="2" t="s">
        <v>428</v>
      </c>
      <c r="N105" s="27"/>
      <c r="O105" s="27">
        <v>7850</v>
      </c>
      <c r="P105" s="3" t="s">
        <v>428</v>
      </c>
      <c r="Q105" s="3" t="s">
        <v>428</v>
      </c>
      <c r="R105" s="3" t="s">
        <v>428</v>
      </c>
      <c r="S105" s="138" t="s">
        <v>428</v>
      </c>
      <c r="T105" s="90">
        <f>SUM(Table2[[#This Row],[A1toA3_GWP]:[C1toC4_GWP]])</f>
        <v>1131.8399999999999</v>
      </c>
      <c r="U105" s="91">
        <v>1130</v>
      </c>
      <c r="V105" s="149">
        <v>1.84</v>
      </c>
      <c r="W105" s="52">
        <f t="shared" si="2"/>
        <v>1</v>
      </c>
      <c r="X105" s="156" cm="1">
        <f t="array" ref="X105">IF($W105&lt;&gt;0,
IF(AND(
                         T105&gt;=_xlfn.PERCENTILE.INC(_xlfn._xlws.FILTER($T$2:$T$148, ($L$2:$L$148=L105)*($W$2:$W$148=1)),0.1),
                         T105&lt;=_xlfn.PERCENTILE.INC(_xlfn._xlws.FILTER($T$2:$T$148, ($L$2:$L$148=L105)*($W$2:$W$148=1)),0.9)
               ),1,0),
0)</f>
        <v>1</v>
      </c>
      <c r="Y105" s="165"/>
      <c r="Z105" s="195" t="s">
        <v>494</v>
      </c>
      <c r="AA105" s="68"/>
      <c r="AB105" s="45"/>
    </row>
    <row r="106" spans="1:28" customFormat="1" x14ac:dyDescent="0.45">
      <c r="A106" s="9" t="s">
        <v>373</v>
      </c>
      <c r="B106" s="104">
        <v>105</v>
      </c>
      <c r="C106" s="2" t="s">
        <v>134</v>
      </c>
      <c r="D106" s="3" t="s">
        <v>135</v>
      </c>
      <c r="E106" s="3"/>
      <c r="F106" s="34">
        <v>41803</v>
      </c>
      <c r="G106" s="34">
        <v>43628</v>
      </c>
      <c r="H106" s="27" t="s">
        <v>53</v>
      </c>
      <c r="I106" s="111" t="s">
        <v>136</v>
      </c>
      <c r="J106" s="6" t="s">
        <v>335</v>
      </c>
      <c r="K106" s="2" t="s">
        <v>327</v>
      </c>
      <c r="L106" s="124" t="s">
        <v>329</v>
      </c>
      <c r="M106" s="2" t="s">
        <v>428</v>
      </c>
      <c r="N106" s="27"/>
      <c r="O106" s="27">
        <v>7850</v>
      </c>
      <c r="P106" s="3" t="s">
        <v>428</v>
      </c>
      <c r="Q106" s="3" t="s">
        <v>428</v>
      </c>
      <c r="R106" s="3" t="s">
        <v>428</v>
      </c>
      <c r="S106" s="138" t="s">
        <v>428</v>
      </c>
      <c r="T106" s="90">
        <f>SUM(Table2[[#This Row],[A1toA3_GWP]:[C1toC4_GWP]])</f>
        <v>728</v>
      </c>
      <c r="U106" s="91">
        <f>0.728*1000</f>
        <v>728</v>
      </c>
      <c r="V106" s="149">
        <v>0</v>
      </c>
      <c r="W106" s="52">
        <f t="shared" si="2"/>
        <v>1</v>
      </c>
      <c r="X106" s="156" cm="1">
        <f t="array" ref="X106">IF($W106&lt;&gt;0,
IF(AND(
                         T106&gt;=_xlfn.PERCENTILE.INC(_xlfn._xlws.FILTER($T$2:$T$148, ($L$2:$L$148=L106)*($W$2:$W$148=1)),0.1),
                         T106&lt;=_xlfn.PERCENTILE.INC(_xlfn._xlws.FILTER($T$2:$T$148, ($L$2:$L$148=L106)*($W$2:$W$148=1)),0.9)
               ),1,0),
0)</f>
        <v>1</v>
      </c>
      <c r="Y106" s="165"/>
      <c r="Z106" s="195" t="s">
        <v>494</v>
      </c>
      <c r="AA106" s="68"/>
      <c r="AB106" s="45"/>
    </row>
    <row r="107" spans="1:28" customFormat="1" x14ac:dyDescent="0.45">
      <c r="A107" s="9" t="s">
        <v>374</v>
      </c>
      <c r="B107" s="104">
        <v>106</v>
      </c>
      <c r="C107" s="2" t="s">
        <v>137</v>
      </c>
      <c r="D107" s="3" t="s">
        <v>138</v>
      </c>
      <c r="E107" s="3"/>
      <c r="F107" s="34">
        <v>45362</v>
      </c>
      <c r="G107" s="34">
        <v>47190</v>
      </c>
      <c r="H107" s="27" t="s">
        <v>54</v>
      </c>
      <c r="I107" s="111" t="s">
        <v>143</v>
      </c>
      <c r="J107" s="6" t="s">
        <v>335</v>
      </c>
      <c r="K107" s="2" t="s">
        <v>327</v>
      </c>
      <c r="L107" s="124" t="s">
        <v>329</v>
      </c>
      <c r="M107" s="2" t="s">
        <v>428</v>
      </c>
      <c r="N107" s="27"/>
      <c r="O107" s="27">
        <v>7850</v>
      </c>
      <c r="P107" s="3" t="s">
        <v>428</v>
      </c>
      <c r="Q107" s="3" t="s">
        <v>428</v>
      </c>
      <c r="R107" s="3" t="s">
        <v>428</v>
      </c>
      <c r="S107" s="138" t="s">
        <v>428</v>
      </c>
      <c r="T107" s="90">
        <f>SUM(Table2[[#This Row],[A1toA3_GWP]:[C1toC4_GWP]])</f>
        <v>352.01</v>
      </c>
      <c r="U107" s="91">
        <v>335</v>
      </c>
      <c r="V107" s="149">
        <f>2.51+14.5</f>
        <v>17.009999999999998</v>
      </c>
      <c r="W107" s="52">
        <f t="shared" si="2"/>
        <v>1</v>
      </c>
      <c r="X107" s="156" cm="1">
        <f t="array" ref="X107">IF($W107&lt;&gt;0,
IF(AND(
                         T107&gt;=_xlfn.PERCENTILE.INC(_xlfn._xlws.FILTER($T$2:$T$148, ($L$2:$L$148=L107)*($W$2:$W$148=1)),0.1),
                         T107&lt;=_xlfn.PERCENTILE.INC(_xlfn._xlws.FILTER($T$2:$T$148, ($L$2:$L$148=L107)*($W$2:$W$148=1)),0.9)
               ),1,0),
0)</f>
        <v>1</v>
      </c>
      <c r="Y107" s="165"/>
      <c r="Z107" s="195" t="s">
        <v>494</v>
      </c>
      <c r="AA107" s="68"/>
      <c r="AB107" s="45"/>
    </row>
    <row r="108" spans="1:28" customFormat="1" x14ac:dyDescent="0.45">
      <c r="A108" s="9" t="s">
        <v>375</v>
      </c>
      <c r="B108" s="104">
        <v>107</v>
      </c>
      <c r="C108" s="2" t="s">
        <v>139</v>
      </c>
      <c r="D108" s="3" t="s">
        <v>140</v>
      </c>
      <c r="E108" s="3"/>
      <c r="F108" s="34">
        <v>44396</v>
      </c>
      <c r="G108" s="34">
        <v>46221</v>
      </c>
      <c r="H108" s="27" t="s">
        <v>141</v>
      </c>
      <c r="I108" s="111" t="s">
        <v>142</v>
      </c>
      <c r="J108" s="6" t="s">
        <v>335</v>
      </c>
      <c r="K108" s="2" t="s">
        <v>327</v>
      </c>
      <c r="L108" s="124" t="s">
        <v>329</v>
      </c>
      <c r="M108" s="2" t="s">
        <v>428</v>
      </c>
      <c r="N108" s="27"/>
      <c r="O108" s="27">
        <v>7850</v>
      </c>
      <c r="P108" s="3" t="s">
        <v>428</v>
      </c>
      <c r="Q108" s="3" t="s">
        <v>428</v>
      </c>
      <c r="R108" s="3" t="s">
        <v>428</v>
      </c>
      <c r="S108" s="138" t="s">
        <v>428</v>
      </c>
      <c r="T108" s="90">
        <f>SUM(Table2[[#This Row],[A1toA3_GWP]:[C1toC4_GWP]])</f>
        <v>348.9</v>
      </c>
      <c r="U108" s="91">
        <v>333</v>
      </c>
      <c r="V108" s="149">
        <f>1.6+14.3</f>
        <v>15.9</v>
      </c>
      <c r="W108" s="52">
        <f t="shared" si="2"/>
        <v>1</v>
      </c>
      <c r="X108" s="156" cm="1">
        <f t="array" ref="X108">IF($W108&lt;&gt;0,
IF(AND(
                         T108&gt;=_xlfn.PERCENTILE.INC(_xlfn._xlws.FILTER($T$2:$T$148, ($L$2:$L$148=L108)*($W$2:$W$148=1)),0.1),
                         T108&lt;=_xlfn.PERCENTILE.INC(_xlfn._xlws.FILTER($T$2:$T$148, ($L$2:$L$148=L108)*($W$2:$W$148=1)),0.9)
               ),1,0),
0)</f>
        <v>0</v>
      </c>
      <c r="Y108" s="165"/>
      <c r="Z108" s="195" t="s">
        <v>494</v>
      </c>
      <c r="AA108" s="68"/>
      <c r="AB108" s="45"/>
    </row>
    <row r="109" spans="1:28" customFormat="1" x14ac:dyDescent="0.45">
      <c r="A109" s="9" t="s">
        <v>376</v>
      </c>
      <c r="B109" s="104">
        <v>108</v>
      </c>
      <c r="C109" s="2" t="s">
        <v>144</v>
      </c>
      <c r="D109" s="3" t="s">
        <v>145</v>
      </c>
      <c r="E109" s="3"/>
      <c r="F109" s="34">
        <v>45205</v>
      </c>
      <c r="G109" s="34">
        <v>47031</v>
      </c>
      <c r="H109" s="27" t="s">
        <v>54</v>
      </c>
      <c r="I109" s="111" t="s">
        <v>136</v>
      </c>
      <c r="J109" s="6" t="s">
        <v>335</v>
      </c>
      <c r="K109" s="2" t="s">
        <v>327</v>
      </c>
      <c r="L109" s="124" t="s">
        <v>329</v>
      </c>
      <c r="M109" s="2" t="s">
        <v>428</v>
      </c>
      <c r="N109" s="27"/>
      <c r="O109" s="27">
        <v>7850</v>
      </c>
      <c r="P109" s="3" t="s">
        <v>428</v>
      </c>
      <c r="Q109" s="3" t="s">
        <v>428</v>
      </c>
      <c r="R109" s="3" t="s">
        <v>428</v>
      </c>
      <c r="S109" s="138" t="s">
        <v>428</v>
      </c>
      <c r="T109" s="90">
        <f>SUM(Table2[[#This Row],[A1toA3_GWP]:[C1toC4_GWP]])</f>
        <v>564.70000000000005</v>
      </c>
      <c r="U109" s="91">
        <v>560</v>
      </c>
      <c r="V109" s="149">
        <f>2.19+2.51</f>
        <v>4.6999999999999993</v>
      </c>
      <c r="W109" s="52">
        <f t="shared" si="2"/>
        <v>1</v>
      </c>
      <c r="X109" s="156" cm="1">
        <f t="array" ref="X109">IF($W109&lt;&gt;0,
IF(AND(
                         T109&gt;=_xlfn.PERCENTILE.INC(_xlfn._xlws.FILTER($T$2:$T$148, ($L$2:$L$148=L109)*($W$2:$W$148=1)),0.1),
                         T109&lt;=_xlfn.PERCENTILE.INC(_xlfn._xlws.FILTER($T$2:$T$148, ($L$2:$L$148=L109)*($W$2:$W$148=1)),0.9)
               ),1,0),
0)</f>
        <v>1</v>
      </c>
      <c r="Y109" s="165"/>
      <c r="Z109" s="195" t="s">
        <v>494</v>
      </c>
      <c r="AA109" s="68"/>
      <c r="AB109" s="45"/>
    </row>
    <row r="110" spans="1:28" customFormat="1" x14ac:dyDescent="0.45">
      <c r="A110" s="9" t="s">
        <v>377</v>
      </c>
      <c r="B110" s="104">
        <v>109</v>
      </c>
      <c r="C110" s="2" t="s">
        <v>147</v>
      </c>
      <c r="D110" s="3" t="s">
        <v>146</v>
      </c>
      <c r="E110" s="3"/>
      <c r="F110" s="34">
        <v>43455</v>
      </c>
      <c r="G110" s="34">
        <v>45280</v>
      </c>
      <c r="H110" s="27" t="s">
        <v>54</v>
      </c>
      <c r="I110" s="111" t="s">
        <v>148</v>
      </c>
      <c r="J110" s="6" t="s">
        <v>335</v>
      </c>
      <c r="K110" s="2" t="s">
        <v>327</v>
      </c>
      <c r="L110" s="124" t="s">
        <v>329</v>
      </c>
      <c r="M110" s="2" t="s">
        <v>428</v>
      </c>
      <c r="N110" s="27"/>
      <c r="O110" s="27">
        <v>7850</v>
      </c>
      <c r="P110" s="3" t="s">
        <v>428</v>
      </c>
      <c r="Q110" s="3" t="s">
        <v>428</v>
      </c>
      <c r="R110" s="3" t="s">
        <v>428</v>
      </c>
      <c r="S110" s="138" t="s">
        <v>428</v>
      </c>
      <c r="T110" s="90">
        <f>SUM(Table2[[#This Row],[A1toA3_GWP]:[C1toC4_GWP]])</f>
        <v>1322.21</v>
      </c>
      <c r="U110" s="91">
        <v>1320</v>
      </c>
      <c r="V110" s="149">
        <v>2.21</v>
      </c>
      <c r="W110" s="52">
        <f t="shared" si="2"/>
        <v>1</v>
      </c>
      <c r="X110" s="156" cm="1">
        <f t="array" ref="X110">IF($W110&lt;&gt;0,
IF(AND(
                         T110&gt;=_xlfn.PERCENTILE.INC(_xlfn._xlws.FILTER($T$2:$T$148, ($L$2:$L$148=L110)*($W$2:$W$148=1)),0.1),
                         T110&lt;=_xlfn.PERCENTILE.INC(_xlfn._xlws.FILTER($T$2:$T$148, ($L$2:$L$148=L110)*($W$2:$W$148=1)),0.9)
               ),1,0),
0)</f>
        <v>0</v>
      </c>
      <c r="Y110" s="165"/>
      <c r="Z110" s="195" t="s">
        <v>494</v>
      </c>
      <c r="AA110" s="68"/>
      <c r="AB110" s="45"/>
    </row>
    <row r="111" spans="1:28" customFormat="1" x14ac:dyDescent="0.45">
      <c r="A111" s="184" t="s">
        <v>442</v>
      </c>
      <c r="B111" s="104">
        <v>110</v>
      </c>
      <c r="C111" s="2" t="s">
        <v>445</v>
      </c>
      <c r="D111" s="3" t="s">
        <v>443</v>
      </c>
      <c r="E111" s="3"/>
      <c r="F111" s="34">
        <v>44498</v>
      </c>
      <c r="G111" s="34">
        <v>46323</v>
      </c>
      <c r="H111" s="27" t="s">
        <v>248</v>
      </c>
      <c r="I111" s="111" t="s">
        <v>136</v>
      </c>
      <c r="J111" s="6" t="s">
        <v>335</v>
      </c>
      <c r="K111" s="2" t="s">
        <v>444</v>
      </c>
      <c r="L111" s="124" t="s">
        <v>329</v>
      </c>
      <c r="M111" s="2" t="s">
        <v>428</v>
      </c>
      <c r="N111" s="27"/>
      <c r="O111" s="27">
        <v>7850</v>
      </c>
      <c r="P111" s="3" t="s">
        <v>428</v>
      </c>
      <c r="Q111" s="3" t="s">
        <v>428</v>
      </c>
      <c r="R111" s="3" t="s">
        <v>428</v>
      </c>
      <c r="S111" s="138" t="s">
        <v>428</v>
      </c>
      <c r="T111" s="90">
        <f>SUM(Table2[[#This Row],[A1toA3_GWP]:[C1toC4_GWP]])</f>
        <v>996.27</v>
      </c>
      <c r="U111" s="91">
        <f>0.964*1000</f>
        <v>964</v>
      </c>
      <c r="V111" s="149">
        <f>(0.003+0.00827+0.021)*1000</f>
        <v>32.270000000000003</v>
      </c>
      <c r="W111" s="52">
        <f t="shared" ref="W111:W117" si="3">IF(OR($D111="Ecoinvent",$D111="Betonsortenrechner",$D111="KBOB",$T111&lt;=0),0,1)</f>
        <v>1</v>
      </c>
      <c r="X111" s="156" cm="1">
        <f t="array" ref="X111">IF($W111&lt;&gt;0,
IF(AND(
                         T111&gt;=_xlfn.PERCENTILE.INC(_xlfn._xlws.FILTER($T$2:$T$148, ($L$2:$L$148=L111)*($W$2:$W$148=1)),0.1),
                         T111&lt;=_xlfn.PERCENTILE.INC(_xlfn._xlws.FILTER($T$2:$T$148, ($L$2:$L$148=L111)*($W$2:$W$148=1)),0.9)
               ),1,0),
0)</f>
        <v>1</v>
      </c>
      <c r="Y111" s="165"/>
      <c r="Z111" s="195" t="s">
        <v>494</v>
      </c>
      <c r="AA111" s="68"/>
      <c r="AB111" s="45"/>
    </row>
    <row r="112" spans="1:28" customFormat="1" x14ac:dyDescent="0.45">
      <c r="A112" s="184" t="s">
        <v>446</v>
      </c>
      <c r="B112" s="104">
        <v>111</v>
      </c>
      <c r="C112" s="2" t="s">
        <v>144</v>
      </c>
      <c r="D112" s="3" t="s">
        <v>133</v>
      </c>
      <c r="E112" s="3"/>
      <c r="F112" s="34">
        <v>45205</v>
      </c>
      <c r="G112" s="34">
        <v>47031</v>
      </c>
      <c r="H112" s="27" t="s">
        <v>54</v>
      </c>
      <c r="I112" s="111" t="s">
        <v>136</v>
      </c>
      <c r="J112" s="6" t="s">
        <v>335</v>
      </c>
      <c r="K112" s="2" t="s">
        <v>444</v>
      </c>
      <c r="L112" s="124" t="s">
        <v>329</v>
      </c>
      <c r="M112" s="2" t="s">
        <v>428</v>
      </c>
      <c r="N112" s="27"/>
      <c r="O112" s="27">
        <v>7850</v>
      </c>
      <c r="P112" s="3" t="s">
        <v>428</v>
      </c>
      <c r="Q112" s="3" t="s">
        <v>428</v>
      </c>
      <c r="R112" s="3" t="s">
        <v>428</v>
      </c>
      <c r="S112" s="138" t="s">
        <v>428</v>
      </c>
      <c r="T112" s="90">
        <f>SUM(Table2[[#This Row],[A1toA3_GWP]:[C1toC4_GWP]])</f>
        <v>560</v>
      </c>
      <c r="U112" s="91">
        <v>560</v>
      </c>
      <c r="V112" s="149">
        <v>0</v>
      </c>
      <c r="W112" s="52">
        <f t="shared" si="3"/>
        <v>1</v>
      </c>
      <c r="X112" s="156" cm="1">
        <f t="array" ref="X112">IF($W112&lt;&gt;0,
IF(AND(
                         T112&gt;=_xlfn.PERCENTILE.INC(_xlfn._xlws.FILTER($T$2:$T$148, ($L$2:$L$148=L112)*($W$2:$W$148=1)),0.1),
                         T112&lt;=_xlfn.PERCENTILE.INC(_xlfn._xlws.FILTER($T$2:$T$148, ($L$2:$L$148=L112)*($W$2:$W$148=1)),0.9)
               ),1,0),
0)</f>
        <v>1</v>
      </c>
      <c r="Y112" s="165"/>
      <c r="Z112" s="195" t="s">
        <v>494</v>
      </c>
      <c r="AA112" s="68"/>
      <c r="AB112" s="45"/>
    </row>
    <row r="113" spans="1:28" customFormat="1" x14ac:dyDescent="0.45">
      <c r="A113" s="184" t="s">
        <v>449</v>
      </c>
      <c r="B113" s="104">
        <v>112</v>
      </c>
      <c r="C113" s="2" t="s">
        <v>447</v>
      </c>
      <c r="D113" s="3" t="s">
        <v>448</v>
      </c>
      <c r="E113" s="3"/>
      <c r="F113" s="34">
        <v>43758</v>
      </c>
      <c r="G113" s="34">
        <v>45584</v>
      </c>
      <c r="H113" s="27" t="s">
        <v>56</v>
      </c>
      <c r="I113" s="111" t="s">
        <v>136</v>
      </c>
      <c r="J113" s="6" t="s">
        <v>335</v>
      </c>
      <c r="K113" s="2" t="s">
        <v>444</v>
      </c>
      <c r="L113" s="124" t="s">
        <v>329</v>
      </c>
      <c r="M113" s="2" t="s">
        <v>428</v>
      </c>
      <c r="N113" s="27"/>
      <c r="O113" s="27">
        <v>7850</v>
      </c>
      <c r="P113" s="3" t="s">
        <v>428</v>
      </c>
      <c r="Q113" s="3" t="s">
        <v>428</v>
      </c>
      <c r="R113" s="3" t="s">
        <v>428</v>
      </c>
      <c r="S113" s="138" t="s">
        <v>428</v>
      </c>
      <c r="T113" s="90">
        <f>SUM(Table2[[#This Row],[A1toA3_GWP]:[C1toC4_GWP]])</f>
        <v>780</v>
      </c>
      <c r="U113" s="91">
        <v>780</v>
      </c>
      <c r="V113" s="149" t="s">
        <v>304</v>
      </c>
      <c r="W113" s="52">
        <f t="shared" si="3"/>
        <v>1</v>
      </c>
      <c r="X113" s="156" cm="1">
        <f t="array" ref="X113">IF($W113&lt;&gt;0,
IF(AND(
                         T113&gt;=_xlfn.PERCENTILE.INC(_xlfn._xlws.FILTER($T$2:$T$148, ($L$2:$L$148=L113)*($W$2:$W$148=1)),0.1),
                         T113&lt;=_xlfn.PERCENTILE.INC(_xlfn._xlws.FILTER($T$2:$T$148, ($L$2:$L$148=L113)*($W$2:$W$148=1)),0.9)
               ),1,0),
0)</f>
        <v>1</v>
      </c>
      <c r="Y113" s="165"/>
      <c r="Z113" s="195" t="s">
        <v>494</v>
      </c>
      <c r="AA113" s="68"/>
      <c r="AB113" s="45"/>
    </row>
    <row r="114" spans="1:28" customFormat="1" x14ac:dyDescent="0.45">
      <c r="A114" s="184" t="s">
        <v>450</v>
      </c>
      <c r="B114" s="104">
        <v>113</v>
      </c>
      <c r="C114" s="2" t="s">
        <v>452</v>
      </c>
      <c r="D114" s="3" t="s">
        <v>48</v>
      </c>
      <c r="E114" s="3"/>
      <c r="F114" s="34">
        <v>44627</v>
      </c>
      <c r="G114" s="34">
        <v>46404</v>
      </c>
      <c r="H114" s="27" t="s">
        <v>53</v>
      </c>
      <c r="I114" s="111" t="s">
        <v>136</v>
      </c>
      <c r="J114" s="6" t="s">
        <v>335</v>
      </c>
      <c r="K114" s="2" t="s">
        <v>444</v>
      </c>
      <c r="L114" s="124" t="s">
        <v>329</v>
      </c>
      <c r="M114" s="2" t="s">
        <v>428</v>
      </c>
      <c r="N114" s="27"/>
      <c r="O114" s="27">
        <v>7850</v>
      </c>
      <c r="P114" s="3" t="s">
        <v>428</v>
      </c>
      <c r="Q114" s="3" t="s">
        <v>428</v>
      </c>
      <c r="R114" s="3" t="s">
        <v>428</v>
      </c>
      <c r="S114" s="138" t="s">
        <v>428</v>
      </c>
      <c r="T114" s="90">
        <f>SUM(Table2[[#This Row],[A1toA3_GWP]:[C1toC4_GWP]])</f>
        <v>614.54</v>
      </c>
      <c r="U114" s="91">
        <f>215+18.9+301</f>
        <v>534.9</v>
      </c>
      <c r="V114" s="149">
        <f>51+26+2.64</f>
        <v>79.64</v>
      </c>
      <c r="W114" s="52">
        <f t="shared" si="3"/>
        <v>1</v>
      </c>
      <c r="X114" s="156" cm="1">
        <f t="array" ref="X114">IF($W114&lt;&gt;0,
IF(AND(
                         T114&gt;=_xlfn.PERCENTILE.INC(_xlfn._xlws.FILTER($T$2:$T$148, ($L$2:$L$148=L114)*($W$2:$W$148=1)),0.1),
                         T114&lt;=_xlfn.PERCENTILE.INC(_xlfn._xlws.FILTER($T$2:$T$148, ($L$2:$L$148=L114)*($W$2:$W$148=1)),0.9)
               ),1,0),
0)</f>
        <v>1</v>
      </c>
      <c r="Y114" s="165"/>
      <c r="Z114" s="195" t="s">
        <v>494</v>
      </c>
      <c r="AA114" s="68"/>
      <c r="AB114" s="45"/>
    </row>
    <row r="115" spans="1:28" customFormat="1" x14ac:dyDescent="0.45">
      <c r="A115" s="184" t="s">
        <v>451</v>
      </c>
      <c r="B115" s="104">
        <v>114</v>
      </c>
      <c r="C115" s="2" t="s">
        <v>454</v>
      </c>
      <c r="D115" s="3" t="s">
        <v>453</v>
      </c>
      <c r="E115" s="3"/>
      <c r="F115" s="34">
        <v>45134</v>
      </c>
      <c r="G115" s="34">
        <v>46960</v>
      </c>
      <c r="H115" s="27" t="s">
        <v>54</v>
      </c>
      <c r="I115" s="111" t="s">
        <v>136</v>
      </c>
      <c r="J115" s="6" t="s">
        <v>335</v>
      </c>
      <c r="K115" s="2" t="s">
        <v>444</v>
      </c>
      <c r="L115" s="124" t="s">
        <v>329</v>
      </c>
      <c r="M115" s="2" t="s">
        <v>428</v>
      </c>
      <c r="N115" s="27"/>
      <c r="O115" s="27">
        <v>7850</v>
      </c>
      <c r="P115" s="3" t="s">
        <v>428</v>
      </c>
      <c r="Q115" s="3" t="s">
        <v>428</v>
      </c>
      <c r="R115" s="3" t="s">
        <v>428</v>
      </c>
      <c r="S115" s="138" t="s">
        <v>428</v>
      </c>
      <c r="T115" s="90">
        <f>SUM(Table2[[#This Row],[A1toA3_GWP]:[C1toC4_GWP]])</f>
        <v>838.41</v>
      </c>
      <c r="U115" s="91">
        <v>688</v>
      </c>
      <c r="V115" s="149">
        <f>5.41+145</f>
        <v>150.41</v>
      </c>
      <c r="W115" s="52">
        <f t="shared" si="3"/>
        <v>1</v>
      </c>
      <c r="X115" s="156" cm="1">
        <f t="array" ref="X115">IF($W115&lt;&gt;0,
IF(AND(
                         T115&gt;=_xlfn.PERCENTILE.INC(_xlfn._xlws.FILTER($T$2:$T$148, ($L$2:$L$148=L115)*($W$2:$W$148=1)),0.1),
                         T115&lt;=_xlfn.PERCENTILE.INC(_xlfn._xlws.FILTER($T$2:$T$148, ($L$2:$L$148=L115)*($W$2:$W$148=1)),0.9)
               ),1,0),
0)</f>
        <v>1</v>
      </c>
      <c r="Y115" s="165"/>
      <c r="Z115" s="2" t="s">
        <v>494</v>
      </c>
      <c r="AA115" s="68"/>
      <c r="AB115" s="45"/>
    </row>
    <row r="116" spans="1:28" customFormat="1" x14ac:dyDescent="0.45">
      <c r="A116" s="184" t="s">
        <v>455</v>
      </c>
      <c r="B116" s="104">
        <v>115</v>
      </c>
      <c r="C116" s="2" t="s">
        <v>461</v>
      </c>
      <c r="D116" s="3" t="s">
        <v>460</v>
      </c>
      <c r="E116" s="3"/>
      <c r="F116" s="34">
        <v>45133</v>
      </c>
      <c r="G116" s="34">
        <v>46228</v>
      </c>
      <c r="H116" s="27" t="s">
        <v>459</v>
      </c>
      <c r="I116" s="111" t="s">
        <v>136</v>
      </c>
      <c r="J116" s="6" t="s">
        <v>335</v>
      </c>
      <c r="K116" s="2" t="s">
        <v>444</v>
      </c>
      <c r="L116" s="124" t="s">
        <v>329</v>
      </c>
      <c r="M116" s="2" t="s">
        <v>428</v>
      </c>
      <c r="N116" s="27"/>
      <c r="O116" s="27">
        <v>7850</v>
      </c>
      <c r="P116" s="3" t="s">
        <v>428</v>
      </c>
      <c r="Q116" s="3" t="s">
        <v>428</v>
      </c>
      <c r="R116" s="3" t="s">
        <v>428</v>
      </c>
      <c r="S116" s="138" t="s">
        <v>428</v>
      </c>
      <c r="T116" s="90">
        <f>SUM(Table2[[#This Row],[A1toA3_GWP]:[C1toC4_GWP]])</f>
        <v>1201.78</v>
      </c>
      <c r="U116" s="91">
        <v>1160</v>
      </c>
      <c r="V116" s="149">
        <f>40.6+1.18</f>
        <v>41.78</v>
      </c>
      <c r="W116" s="52">
        <f t="shared" si="3"/>
        <v>1</v>
      </c>
      <c r="X116" s="156" cm="1">
        <f t="array" ref="X116">IF($W116&lt;&gt;0,
IF(AND(
                         T116&gt;=_xlfn.PERCENTILE.INC(_xlfn._xlws.FILTER($T$2:$T$148, ($L$2:$L$148=L116)*($W$2:$W$148=1)),0.1),
                         T116&lt;=_xlfn.PERCENTILE.INC(_xlfn._xlws.FILTER($T$2:$T$148, ($L$2:$L$148=L116)*($W$2:$W$148=1)),0.9)
               ),1,0),
0)</f>
        <v>1</v>
      </c>
      <c r="Y116" s="165"/>
      <c r="Z116" s="2" t="s">
        <v>494</v>
      </c>
      <c r="AA116" s="68"/>
      <c r="AB116" s="45"/>
    </row>
    <row r="117" spans="1:28" customFormat="1" x14ac:dyDescent="0.45">
      <c r="A117" s="184" t="s">
        <v>456</v>
      </c>
      <c r="B117" s="104">
        <v>116</v>
      </c>
      <c r="C117" s="2" t="s">
        <v>464</v>
      </c>
      <c r="D117" s="3" t="s">
        <v>462</v>
      </c>
      <c r="E117" s="3"/>
      <c r="F117" s="34">
        <v>45041</v>
      </c>
      <c r="G117" s="34">
        <v>46863</v>
      </c>
      <c r="H117" s="27" t="s">
        <v>463</v>
      </c>
      <c r="I117" s="111" t="s">
        <v>136</v>
      </c>
      <c r="J117" s="6" t="s">
        <v>335</v>
      </c>
      <c r="K117" s="2" t="s">
        <v>444</v>
      </c>
      <c r="L117" s="124" t="s">
        <v>329</v>
      </c>
      <c r="M117" s="2" t="s">
        <v>428</v>
      </c>
      <c r="N117" s="27"/>
      <c r="O117" s="27">
        <v>7850</v>
      </c>
      <c r="P117" s="3" t="s">
        <v>428</v>
      </c>
      <c r="Q117" s="3" t="s">
        <v>428</v>
      </c>
      <c r="R117" s="3" t="s">
        <v>428</v>
      </c>
      <c r="S117" s="138" t="s">
        <v>428</v>
      </c>
      <c r="T117" s="90">
        <f>SUM(Table2[[#This Row],[A1toA3_GWP]:[C1toC4_GWP]])</f>
        <v>293.67</v>
      </c>
      <c r="U117" s="91">
        <v>223</v>
      </c>
      <c r="V117" s="149">
        <f>61.9+8.32+0.45</f>
        <v>70.67</v>
      </c>
      <c r="W117" s="52">
        <f t="shared" si="3"/>
        <v>1</v>
      </c>
      <c r="X117" s="156" cm="1">
        <f t="array" ref="X117">IF($W117&lt;&gt;0,
IF(AND(
                         T117&gt;=_xlfn.PERCENTILE.INC(_xlfn._xlws.FILTER($T$2:$T$148, ($L$2:$L$148=L117)*($W$2:$W$148=1)),0.1),
                         T117&lt;=_xlfn.PERCENTILE.INC(_xlfn._xlws.FILTER($T$2:$T$148, ($L$2:$L$148=L117)*($W$2:$W$148=1)),0.9)
               ),1,0),
0)</f>
        <v>0</v>
      </c>
      <c r="Y117" s="165"/>
      <c r="Z117" s="2" t="s">
        <v>495</v>
      </c>
      <c r="AA117" s="68"/>
      <c r="AB117" s="45"/>
    </row>
    <row r="118" spans="1:28" customFormat="1" x14ac:dyDescent="0.45">
      <c r="A118" s="184" t="s">
        <v>457</v>
      </c>
      <c r="B118" s="104">
        <v>117</v>
      </c>
      <c r="C118" s="2" t="s">
        <v>466</v>
      </c>
      <c r="D118" s="3" t="s">
        <v>465</v>
      </c>
      <c r="E118" s="3"/>
      <c r="F118" s="34">
        <v>45209</v>
      </c>
      <c r="G118" s="34">
        <v>47036</v>
      </c>
      <c r="H118" s="27" t="s">
        <v>248</v>
      </c>
      <c r="I118" s="111" t="s">
        <v>136</v>
      </c>
      <c r="J118" s="6" t="s">
        <v>335</v>
      </c>
      <c r="K118" s="2" t="s">
        <v>444</v>
      </c>
      <c r="L118" s="124" t="s">
        <v>329</v>
      </c>
      <c r="M118" s="2" t="s">
        <v>428</v>
      </c>
      <c r="N118" s="27"/>
      <c r="O118" s="27">
        <v>7850</v>
      </c>
      <c r="P118" s="3" t="s">
        <v>428</v>
      </c>
      <c r="Q118" s="3" t="s">
        <v>428</v>
      </c>
      <c r="R118" s="3" t="s">
        <v>428</v>
      </c>
      <c r="S118" s="138" t="s">
        <v>428</v>
      </c>
      <c r="T118" s="90">
        <f>SUM(Table2[[#This Row],[A1toA3_GWP]:[C1toC4_GWP]])</f>
        <v>2447.48</v>
      </c>
      <c r="U118" s="91">
        <v>2410</v>
      </c>
      <c r="V118" s="149">
        <f>1.1+9.68+26.7</f>
        <v>37.479999999999997</v>
      </c>
      <c r="W118" s="52"/>
      <c r="X118" s="156" cm="1">
        <f t="array" ref="X118">IF($W118&lt;&gt;0,
IF(AND(
                         T118&gt;=_xlfn.PERCENTILE.INC(_xlfn._xlws.FILTER($T$2:$T$148, ($L$2:$L$148=L118)*($W$2:$W$148=1)),0.1),
                         T118&lt;=_xlfn.PERCENTILE.INC(_xlfn._xlws.FILTER($T$2:$T$148, ($L$2:$L$148=L118)*($W$2:$W$148=1)),0.9)
               ),1,0),
0)</f>
        <v>0</v>
      </c>
      <c r="Y118" s="165"/>
      <c r="Z118" s="2" t="s">
        <v>496</v>
      </c>
      <c r="AA118" s="68"/>
      <c r="AB118" s="45"/>
    </row>
    <row r="119" spans="1:28" customFormat="1" x14ac:dyDescent="0.45">
      <c r="A119" s="184" t="s">
        <v>458</v>
      </c>
      <c r="B119" s="104">
        <v>118</v>
      </c>
      <c r="C119" s="22" t="s">
        <v>471</v>
      </c>
      <c r="D119" s="3" t="s">
        <v>472</v>
      </c>
      <c r="E119" s="3"/>
      <c r="F119" s="34">
        <v>44249</v>
      </c>
      <c r="G119" s="34">
        <v>46075</v>
      </c>
      <c r="H119" s="34" t="s">
        <v>303</v>
      </c>
      <c r="I119" s="111" t="s">
        <v>136</v>
      </c>
      <c r="J119" s="6" t="s">
        <v>335</v>
      </c>
      <c r="K119" s="2" t="s">
        <v>444</v>
      </c>
      <c r="L119" s="124" t="s">
        <v>329</v>
      </c>
      <c r="M119" s="2" t="s">
        <v>428</v>
      </c>
      <c r="N119" s="27"/>
      <c r="O119" s="27">
        <v>7850</v>
      </c>
      <c r="P119" s="3" t="s">
        <v>428</v>
      </c>
      <c r="Q119" s="3" t="s">
        <v>428</v>
      </c>
      <c r="R119" s="3" t="s">
        <v>428</v>
      </c>
      <c r="S119" s="138" t="s">
        <v>428</v>
      </c>
      <c r="T119" s="90">
        <f>SUM(Table2[[#This Row],[A1toA3_GWP]:[C1toC4_GWP]])</f>
        <v>1380.1</v>
      </c>
      <c r="U119" s="91">
        <v>1290</v>
      </c>
      <c r="V119" s="149">
        <f>21.5+68.6</f>
        <v>90.1</v>
      </c>
      <c r="W119" s="52">
        <f>IF(OR($D119="Ecoinvent",$D119="Betonsortenrechner",$D119="KBOB",$T119&lt;=0),0,1)</f>
        <v>1</v>
      </c>
      <c r="X119" s="156" cm="1">
        <f t="array" ref="X119">IF($W119&lt;&gt;0,
IF(AND(
                         T119&gt;=_xlfn.PERCENTILE.INC(_xlfn._xlws.FILTER($T$2:$T$148, ($L$2:$L$148=L119)*($W$2:$W$148=1)),0.1),
                         T119&lt;=_xlfn.PERCENTILE.INC(_xlfn._xlws.FILTER($T$2:$T$148, ($L$2:$L$148=L119)*($W$2:$W$148=1)),0.9)
               ),1,0),
0)</f>
        <v>0</v>
      </c>
      <c r="Y119" s="165"/>
      <c r="Z119" s="2" t="s">
        <v>494</v>
      </c>
      <c r="AA119" s="68"/>
      <c r="AB119" s="45"/>
    </row>
    <row r="120" spans="1:28" customFormat="1" x14ac:dyDescent="0.45">
      <c r="A120" s="184" t="s">
        <v>475</v>
      </c>
      <c r="B120" s="104">
        <v>119</v>
      </c>
      <c r="C120" s="2" t="s">
        <v>473</v>
      </c>
      <c r="D120" s="3" t="s">
        <v>474</v>
      </c>
      <c r="E120" s="3"/>
      <c r="F120" s="34">
        <v>45239</v>
      </c>
      <c r="G120" s="34">
        <v>47066</v>
      </c>
      <c r="H120" s="27" t="s">
        <v>56</v>
      </c>
      <c r="I120" s="111" t="s">
        <v>136</v>
      </c>
      <c r="J120" s="6" t="s">
        <v>335</v>
      </c>
      <c r="K120" s="2" t="s">
        <v>444</v>
      </c>
      <c r="L120" s="124" t="s">
        <v>329</v>
      </c>
      <c r="M120" s="2" t="s">
        <v>428</v>
      </c>
      <c r="N120" s="27"/>
      <c r="O120" s="27">
        <v>7850</v>
      </c>
      <c r="P120" s="3" t="s">
        <v>428</v>
      </c>
      <c r="Q120" s="3" t="s">
        <v>428</v>
      </c>
      <c r="R120" s="3" t="s">
        <v>428</v>
      </c>
      <c r="S120" s="138" t="s">
        <v>428</v>
      </c>
      <c r="T120" s="90">
        <f>SUM(Table2[[#This Row],[A1toA3_GWP]:[C1toC4_GWP]])</f>
        <v>867.42</v>
      </c>
      <c r="U120" s="91">
        <v>854</v>
      </c>
      <c r="V120" s="149">
        <f>5.85+7.57</f>
        <v>13.42</v>
      </c>
      <c r="W120" s="52">
        <f>IF(OR($D120="Ecoinvent",$D120="Betonsortenrechner",$D120="KBOB",$T120&lt;=0),0,1)</f>
        <v>1</v>
      </c>
      <c r="X120" s="156" cm="1">
        <f t="array" ref="X120">IF($W120&lt;&gt;0,
IF(AND(
                         T120&gt;=_xlfn.PERCENTILE.INC(_xlfn._xlws.FILTER($T$2:$T$148, ($L$2:$L$148=L120)*($W$2:$W$148=1)),0.1),
                         T120&lt;=_xlfn.PERCENTILE.INC(_xlfn._xlws.FILTER($T$2:$T$148, ($L$2:$L$148=L120)*($W$2:$W$148=1)),0.9)
               ),1,0),
0)</f>
        <v>1</v>
      </c>
      <c r="Y120" s="165"/>
      <c r="Z120" s="2" t="s">
        <v>494</v>
      </c>
      <c r="AA120" s="68"/>
      <c r="AB120" s="45"/>
    </row>
    <row r="121" spans="1:28" customFormat="1" ht="14.65" thickBot="1" x14ac:dyDescent="0.5">
      <c r="A121" s="186" t="s">
        <v>478</v>
      </c>
      <c r="B121" s="105">
        <v>120</v>
      </c>
      <c r="C121" s="4" t="s">
        <v>477</v>
      </c>
      <c r="D121" s="5" t="s">
        <v>476</v>
      </c>
      <c r="E121" s="5"/>
      <c r="F121" s="35">
        <v>44158</v>
      </c>
      <c r="G121" s="35">
        <v>45981</v>
      </c>
      <c r="H121" s="30" t="s">
        <v>248</v>
      </c>
      <c r="I121" s="114" t="s">
        <v>136</v>
      </c>
      <c r="J121" s="7" t="s">
        <v>335</v>
      </c>
      <c r="K121" s="4" t="s">
        <v>444</v>
      </c>
      <c r="L121" s="125" t="s">
        <v>329</v>
      </c>
      <c r="M121" s="4" t="s">
        <v>428</v>
      </c>
      <c r="N121" s="30"/>
      <c r="O121" s="30">
        <v>7850</v>
      </c>
      <c r="P121" s="5" t="s">
        <v>428</v>
      </c>
      <c r="Q121" s="5" t="s">
        <v>428</v>
      </c>
      <c r="R121" s="5" t="s">
        <v>428</v>
      </c>
      <c r="S121" s="141" t="s">
        <v>428</v>
      </c>
      <c r="T121" s="92">
        <f>SUM(Table2[[#This Row],[A1toA3_GWP]:[C1toC4_GWP]])</f>
        <v>1070.46</v>
      </c>
      <c r="U121" s="93">
        <f>1.04*1000</f>
        <v>1040</v>
      </c>
      <c r="V121" s="154">
        <f>21.4+6.84+2.22</f>
        <v>30.459999999999997</v>
      </c>
      <c r="W121" s="145">
        <f>IF(OR($D121="Ecoinvent",$D121="Betonsortenrechner",$D121="KBOB",$T121&lt;=0),0,1)</f>
        <v>1</v>
      </c>
      <c r="X121" s="183" cm="1">
        <f t="array" ref="X121">IF($W121&lt;&gt;0,
IF(AND(
                         T121&gt;=_xlfn.PERCENTILE.INC(_xlfn._xlws.FILTER($T$2:$T$148, ($L$2:$L$148=L121)*($W$2:$W$148=1)),0.1),
                         T121&lt;=_xlfn.PERCENTILE.INC(_xlfn._xlws.FILTER($T$2:$T$148, ($L$2:$L$148=L121)*($W$2:$W$148=1)),0.9)
               ),1,0),
0)</f>
        <v>1</v>
      </c>
      <c r="Y121" s="168"/>
      <c r="Z121" s="4" t="s">
        <v>494</v>
      </c>
      <c r="AA121" s="38"/>
      <c r="AB121" s="45"/>
    </row>
    <row r="122" spans="1:28" customFormat="1" x14ac:dyDescent="0.45">
      <c r="A122" s="9" t="s">
        <v>182</v>
      </c>
      <c r="B122" s="104">
        <v>121</v>
      </c>
      <c r="C122" s="2" t="s">
        <v>163</v>
      </c>
      <c r="D122" s="3" t="s">
        <v>162</v>
      </c>
      <c r="E122" s="3"/>
      <c r="F122" s="34">
        <v>45483</v>
      </c>
      <c r="G122" s="34">
        <v>47309</v>
      </c>
      <c r="H122" s="27" t="s">
        <v>164</v>
      </c>
      <c r="I122" s="111" t="s">
        <v>165</v>
      </c>
      <c r="J122" s="2" t="s">
        <v>304</v>
      </c>
      <c r="K122" s="2" t="s">
        <v>327</v>
      </c>
      <c r="L122" s="124" t="s">
        <v>166</v>
      </c>
      <c r="M122" s="2" t="s">
        <v>428</v>
      </c>
      <c r="N122" s="27"/>
      <c r="O122" s="27"/>
      <c r="P122" s="3"/>
      <c r="Q122" s="3"/>
      <c r="R122" s="3"/>
      <c r="S122" s="138"/>
      <c r="T122" s="90">
        <f>SUM(Table2[[#This Row],[A1toA3_GWP]:[C1toC4_GWP]])</f>
        <v>1308.9564</v>
      </c>
      <c r="U122" s="91">
        <v>1280</v>
      </c>
      <c r="V122" s="149">
        <f>6.59+22.1+0.2664</f>
        <v>28.956400000000002</v>
      </c>
      <c r="W122" s="52">
        <f t="shared" si="2"/>
        <v>1</v>
      </c>
      <c r="X122" s="156" cm="1">
        <f t="array" ref="X122">IF($W122&lt;&gt;0,
IF(AND(
                         T122&gt;=_xlfn.PERCENTILE.INC(_xlfn._xlws.FILTER($T$2:$T$148, ($L$2:$L$148=L122)*($W$2:$W$148=1)),0.1),
                         T122&lt;=_xlfn.PERCENTILE.INC(_xlfn._xlws.FILTER($T$2:$T$148, ($L$2:$L$148=L122)*($W$2:$W$148=1)),0.9)
               ),1,0),
0)</f>
        <v>1</v>
      </c>
      <c r="Y122" s="165"/>
      <c r="Z122" s="2" t="s">
        <v>172</v>
      </c>
      <c r="AA122" s="68"/>
      <c r="AB122" s="45"/>
    </row>
    <row r="123" spans="1:28" customFormat="1" x14ac:dyDescent="0.45">
      <c r="A123" s="9" t="s">
        <v>183</v>
      </c>
      <c r="B123" s="104">
        <v>122</v>
      </c>
      <c r="C123" s="2" t="s">
        <v>175</v>
      </c>
      <c r="D123" s="3" t="s">
        <v>162</v>
      </c>
      <c r="E123" s="3"/>
      <c r="F123" s="34">
        <v>44578</v>
      </c>
      <c r="G123" s="34">
        <v>46404</v>
      </c>
      <c r="H123" s="27" t="s">
        <v>164</v>
      </c>
      <c r="I123" s="111" t="s">
        <v>165</v>
      </c>
      <c r="J123" s="2" t="s">
        <v>304</v>
      </c>
      <c r="K123" s="2" t="s">
        <v>327</v>
      </c>
      <c r="L123" s="124" t="s">
        <v>166</v>
      </c>
      <c r="M123" s="2" t="s">
        <v>428</v>
      </c>
      <c r="N123" s="27"/>
      <c r="O123" s="27"/>
      <c r="P123" s="3"/>
      <c r="Q123" s="3"/>
      <c r="R123" s="3"/>
      <c r="S123" s="138"/>
      <c r="T123" s="90">
        <f>SUM(Table2[[#This Row],[A1toA3_GWP]:[C1toC4_GWP]])</f>
        <v>1852.364</v>
      </c>
      <c r="U123" s="91">
        <v>1830</v>
      </c>
      <c r="V123" s="149">
        <f>22.1+0.264</f>
        <v>22.364000000000001</v>
      </c>
      <c r="W123" s="52">
        <f t="shared" si="2"/>
        <v>1</v>
      </c>
      <c r="X123" s="156" cm="1">
        <f t="array" ref="X123">IF($W123&lt;&gt;0,
IF(AND(
                         T123&gt;=_xlfn.PERCENTILE.INC(_xlfn._xlws.FILTER($T$2:$T$148, ($L$2:$L$148=L123)*($W$2:$W$148=1)),0.1),
                         T123&lt;=_xlfn.PERCENTILE.INC(_xlfn._xlws.FILTER($T$2:$T$148, ($L$2:$L$148=L123)*($W$2:$W$148=1)),0.9)
               ),1,0),
0)</f>
        <v>1</v>
      </c>
      <c r="Y123" s="165"/>
      <c r="Z123" s="2"/>
      <c r="AA123" s="68"/>
      <c r="AB123" s="45"/>
    </row>
    <row r="124" spans="1:28" customFormat="1" x14ac:dyDescent="0.45">
      <c r="A124" s="9" t="s">
        <v>184</v>
      </c>
      <c r="B124" s="104">
        <v>123</v>
      </c>
      <c r="C124" s="2" t="s">
        <v>167</v>
      </c>
      <c r="D124" s="3" t="s">
        <v>227</v>
      </c>
      <c r="E124" s="3"/>
      <c r="F124" s="34">
        <v>43941</v>
      </c>
      <c r="G124" s="34">
        <v>45766</v>
      </c>
      <c r="H124" s="27" t="s">
        <v>170</v>
      </c>
      <c r="I124" s="111" t="s">
        <v>165</v>
      </c>
      <c r="J124" s="2" t="s">
        <v>304</v>
      </c>
      <c r="K124" s="2" t="s">
        <v>327</v>
      </c>
      <c r="L124" s="124" t="s">
        <v>166</v>
      </c>
      <c r="M124" s="2" t="s">
        <v>428</v>
      </c>
      <c r="N124" s="27"/>
      <c r="O124" s="27"/>
      <c r="P124" s="3"/>
      <c r="Q124" s="3"/>
      <c r="R124" s="3"/>
      <c r="S124" s="138"/>
      <c r="T124" s="94">
        <f>SUM(Table2[[#This Row],[A1toA3_GWP]:[C1toC4_GWP]])</f>
        <v>2250</v>
      </c>
      <c r="U124" s="95">
        <f>2.25*1000</f>
        <v>2250</v>
      </c>
      <c r="V124" s="155" t="s">
        <v>168</v>
      </c>
      <c r="W124" s="52">
        <f t="shared" si="2"/>
        <v>1</v>
      </c>
      <c r="X124" s="156" cm="1">
        <f t="array" ref="X124">IF($W124&lt;&gt;0,
IF(AND(
                         T124&gt;=_xlfn.PERCENTILE.INC(_xlfn._xlws.FILTER($T$2:$T$148, ($L$2:$L$148=L124)*($W$2:$W$148=1)),0.1),
                         T124&lt;=_xlfn.PERCENTILE.INC(_xlfn._xlws.FILTER($T$2:$T$148, ($L$2:$L$148=L124)*($W$2:$W$148=1)),0.9)
               ),1,0),
0)</f>
        <v>0</v>
      </c>
      <c r="Y124" s="165"/>
      <c r="Z124" s="2" t="s">
        <v>171</v>
      </c>
      <c r="AA124" s="68"/>
      <c r="AB124" s="45"/>
    </row>
    <row r="125" spans="1:28" customFormat="1" x14ac:dyDescent="0.45">
      <c r="A125" s="9" t="s">
        <v>185</v>
      </c>
      <c r="B125" s="104">
        <v>124</v>
      </c>
      <c r="C125" s="2" t="s">
        <v>169</v>
      </c>
      <c r="D125" s="3" t="s">
        <v>227</v>
      </c>
      <c r="E125" s="3"/>
      <c r="F125" s="34">
        <v>45399</v>
      </c>
      <c r="G125" s="34">
        <v>47224</v>
      </c>
      <c r="H125" s="27" t="s">
        <v>170</v>
      </c>
      <c r="I125" s="111" t="s">
        <v>165</v>
      </c>
      <c r="J125" s="2" t="s">
        <v>304</v>
      </c>
      <c r="K125" s="2" t="s">
        <v>327</v>
      </c>
      <c r="L125" s="124" t="s">
        <v>166</v>
      </c>
      <c r="M125" s="2" t="s">
        <v>428</v>
      </c>
      <c r="N125" s="27"/>
      <c r="O125" s="27"/>
      <c r="P125" s="3"/>
      <c r="Q125" s="3"/>
      <c r="R125" s="3"/>
      <c r="S125" s="138"/>
      <c r="T125" s="90">
        <f>SUM(Table2[[#This Row],[A1toA3_GWP]:[C1toC4_GWP]])</f>
        <v>1014.65</v>
      </c>
      <c r="U125" s="84">
        <f>0.934*1000</f>
        <v>934</v>
      </c>
      <c r="V125" s="149">
        <f>(0.047+0.0321+0.00128+0.00027)*1000</f>
        <v>80.65000000000002</v>
      </c>
      <c r="W125" s="52">
        <f t="shared" si="2"/>
        <v>1</v>
      </c>
      <c r="X125" s="156" cm="1">
        <f t="array" ref="X125">IF($W125&lt;&gt;0,
IF(AND(
                         T125&gt;=_xlfn.PERCENTILE.INC(_xlfn._xlws.FILTER($T$2:$T$148, ($L$2:$L$148=L125)*($W$2:$W$148=1)),0.1),
                         T125&lt;=_xlfn.PERCENTILE.INC(_xlfn._xlws.FILTER($T$2:$T$148, ($L$2:$L$148=L125)*($W$2:$W$148=1)),0.9)
               ),1,0),
0)</f>
        <v>1</v>
      </c>
      <c r="Y125" s="165"/>
      <c r="Z125" s="2" t="s">
        <v>171</v>
      </c>
      <c r="AA125" s="68"/>
      <c r="AB125" s="45"/>
    </row>
    <row r="126" spans="1:28" customFormat="1" x14ac:dyDescent="0.45">
      <c r="A126" s="9" t="s">
        <v>186</v>
      </c>
      <c r="B126" s="104">
        <v>125</v>
      </c>
      <c r="C126" s="2" t="s">
        <v>173</v>
      </c>
      <c r="D126" s="3" t="s">
        <v>174</v>
      </c>
      <c r="E126" s="3"/>
      <c r="F126" s="34">
        <v>44181</v>
      </c>
      <c r="G126" s="34">
        <v>45993</v>
      </c>
      <c r="H126" s="27" t="s">
        <v>248</v>
      </c>
      <c r="I126" s="111" t="s">
        <v>165</v>
      </c>
      <c r="J126" s="2" t="s">
        <v>304</v>
      </c>
      <c r="K126" s="2" t="s">
        <v>327</v>
      </c>
      <c r="L126" s="124" t="s">
        <v>166</v>
      </c>
      <c r="M126" s="2" t="s">
        <v>428</v>
      </c>
      <c r="N126" s="27"/>
      <c r="O126" s="27"/>
      <c r="P126" s="3"/>
      <c r="Q126" s="3"/>
      <c r="R126" s="3"/>
      <c r="S126" s="138"/>
      <c r="T126" s="90">
        <f>SUM(Table2[[#This Row],[A1toA3_GWP]:[C1toC4_GWP]])</f>
        <v>616.83500000000004</v>
      </c>
      <c r="U126" s="96">
        <f>0.584*1000</f>
        <v>584</v>
      </c>
      <c r="V126" s="149">
        <f>(0.0055+0.00817+0.0185+0.000665)*1000</f>
        <v>32.834999999999994</v>
      </c>
      <c r="W126" s="52">
        <f t="shared" si="2"/>
        <v>1</v>
      </c>
      <c r="X126" s="156" cm="1">
        <f t="array" ref="X126">IF($W126&lt;&gt;0,
IF(AND(
                         T126&gt;=_xlfn.PERCENTILE.INC(_xlfn._xlws.FILTER($T$2:$T$148, ($L$2:$L$148=L126)*($W$2:$W$148=1)),0.1),
                         T126&lt;=_xlfn.PERCENTILE.INC(_xlfn._xlws.FILTER($T$2:$T$148, ($L$2:$L$148=L126)*($W$2:$W$148=1)),0.9)
               ),1,0),
0)</f>
        <v>1</v>
      </c>
      <c r="Y126" s="165"/>
      <c r="Z126" s="2"/>
      <c r="AA126" s="68"/>
      <c r="AB126" s="45"/>
    </row>
    <row r="127" spans="1:28" customFormat="1" x14ac:dyDescent="0.45">
      <c r="A127" s="9" t="s">
        <v>187</v>
      </c>
      <c r="B127" s="104">
        <v>126</v>
      </c>
      <c r="C127" s="2" t="s">
        <v>181</v>
      </c>
      <c r="D127" s="3" t="s">
        <v>174</v>
      </c>
      <c r="E127" s="3"/>
      <c r="F127" s="34">
        <v>44181</v>
      </c>
      <c r="G127" s="34">
        <v>45993</v>
      </c>
      <c r="H127" s="27" t="s">
        <v>248</v>
      </c>
      <c r="I127" s="111" t="s">
        <v>165</v>
      </c>
      <c r="J127" s="2" t="s">
        <v>304</v>
      </c>
      <c r="K127" s="2" t="s">
        <v>327</v>
      </c>
      <c r="L127" s="124" t="s">
        <v>166</v>
      </c>
      <c r="M127" s="2" t="s">
        <v>428</v>
      </c>
      <c r="N127" s="27"/>
      <c r="O127" s="27"/>
      <c r="P127" s="3"/>
      <c r="Q127" s="3"/>
      <c r="R127" s="3"/>
      <c r="S127" s="138"/>
      <c r="T127" s="90">
        <f>SUM(Table2[[#This Row],[A1toA3_GWP]:[C1toC4_GWP]])</f>
        <v>1866.032835</v>
      </c>
      <c r="U127" s="96">
        <f>1.866*1000</f>
        <v>1866</v>
      </c>
      <c r="V127" s="149">
        <f>(0.0055+0.00817+0.0185+0.000665)</f>
        <v>3.2834999999999996E-2</v>
      </c>
      <c r="W127" s="52">
        <f t="shared" si="2"/>
        <v>1</v>
      </c>
      <c r="X127" s="156" cm="1">
        <f t="array" ref="X127">IF($W127&lt;&gt;0,
IF(AND(
                         T127&gt;=_xlfn.PERCENTILE.INC(_xlfn._xlws.FILTER($T$2:$T$148, ($L$2:$L$148=L127)*($W$2:$W$148=1)),0.1),
                         T127&lt;=_xlfn.PERCENTILE.INC(_xlfn._xlws.FILTER($T$2:$T$148, ($L$2:$L$148=L127)*($W$2:$W$148=1)),0.9)
               ),1,0),
0)</f>
        <v>1</v>
      </c>
      <c r="Y127" s="165"/>
      <c r="Z127" s="2"/>
      <c r="AA127" s="68"/>
      <c r="AB127" s="45"/>
    </row>
    <row r="128" spans="1:28" customFormat="1" x14ac:dyDescent="0.45">
      <c r="A128" s="9" t="s">
        <v>188</v>
      </c>
      <c r="B128" s="104">
        <v>127</v>
      </c>
      <c r="C128" s="2"/>
      <c r="D128" s="3" t="s">
        <v>176</v>
      </c>
      <c r="E128" s="3"/>
      <c r="F128" s="34">
        <v>42370</v>
      </c>
      <c r="G128" s="34">
        <v>43831</v>
      </c>
      <c r="H128" s="27" t="s">
        <v>248</v>
      </c>
      <c r="I128" s="111" t="s">
        <v>165</v>
      </c>
      <c r="J128" s="2" t="s">
        <v>304</v>
      </c>
      <c r="K128" s="2" t="s">
        <v>327</v>
      </c>
      <c r="L128" s="124" t="s">
        <v>166</v>
      </c>
      <c r="M128" s="2" t="s">
        <v>428</v>
      </c>
      <c r="N128" s="27"/>
      <c r="O128" s="27"/>
      <c r="P128" s="3"/>
      <c r="Q128" s="3"/>
      <c r="R128" s="3"/>
      <c r="S128" s="138"/>
      <c r="T128" s="94">
        <f>SUM(Table2[[#This Row],[A1toA3_GWP]:[C1toC4_GWP]])</f>
        <v>1042</v>
      </c>
      <c r="U128" s="95">
        <f>1.042*1000</f>
        <v>1042</v>
      </c>
      <c r="V128" s="155" t="s">
        <v>168</v>
      </c>
      <c r="W128" s="52">
        <f t="shared" si="2"/>
        <v>1</v>
      </c>
      <c r="X128" s="156" cm="1">
        <f t="array" ref="X128">IF($W128&lt;&gt;0,
IF(AND(
                         T128&gt;=_xlfn.PERCENTILE.INC(_xlfn._xlws.FILTER($T$2:$T$148, ($L$2:$L$148=L128)*($W$2:$W$148=1)),0.1),
                         T128&lt;=_xlfn.PERCENTILE.INC(_xlfn._xlws.FILTER($T$2:$T$148, ($L$2:$L$148=L128)*($W$2:$W$148=1)),0.9)
               ),1,0),
0)</f>
        <v>1</v>
      </c>
      <c r="Y128" s="165"/>
      <c r="Z128" s="2"/>
      <c r="AA128" s="68"/>
      <c r="AB128" s="45"/>
    </row>
    <row r="129" spans="1:28" customFormat="1" x14ac:dyDescent="0.45">
      <c r="A129" s="9" t="s">
        <v>189</v>
      </c>
      <c r="B129" s="104">
        <v>128</v>
      </c>
      <c r="C129" s="2" t="s">
        <v>180</v>
      </c>
      <c r="D129" s="3" t="s">
        <v>177</v>
      </c>
      <c r="E129" s="3"/>
      <c r="F129" s="34">
        <v>44826</v>
      </c>
      <c r="G129" s="34">
        <v>46651</v>
      </c>
      <c r="H129" s="27" t="s">
        <v>179</v>
      </c>
      <c r="I129" s="111" t="s">
        <v>165</v>
      </c>
      <c r="J129" s="2" t="s">
        <v>304</v>
      </c>
      <c r="K129" s="2" t="s">
        <v>327</v>
      </c>
      <c r="L129" s="124" t="s">
        <v>166</v>
      </c>
      <c r="M129" s="2" t="s">
        <v>428</v>
      </c>
      <c r="N129" s="27"/>
      <c r="O129" s="27"/>
      <c r="P129" s="3"/>
      <c r="Q129" s="3"/>
      <c r="R129" s="3"/>
      <c r="S129" s="138"/>
      <c r="T129" s="90">
        <f>SUM(Table2[[#This Row],[A1toA3_GWP]:[C1toC4_GWP]])</f>
        <v>587.99519999999995</v>
      </c>
      <c r="U129" s="84">
        <v>584</v>
      </c>
      <c r="V129" s="149">
        <f>3.59+0.0792+0.326</f>
        <v>3.9952000000000001</v>
      </c>
      <c r="W129" s="52">
        <f t="shared" si="2"/>
        <v>1</v>
      </c>
      <c r="X129" s="156" cm="1">
        <f t="array" ref="X129">IF($W129&lt;&gt;0,
IF(AND(
                         T129&gt;=_xlfn.PERCENTILE.INC(_xlfn._xlws.FILTER($T$2:$T$148, ($L$2:$L$148=L129)*($W$2:$W$148=1)),0.1),
                         T129&lt;=_xlfn.PERCENTILE.INC(_xlfn._xlws.FILTER($T$2:$T$148, ($L$2:$L$148=L129)*($W$2:$W$148=1)),0.9)
               ),1,0),
0)</f>
        <v>1</v>
      </c>
      <c r="Y129" s="165"/>
      <c r="Z129" s="2"/>
      <c r="AA129" s="68"/>
      <c r="AB129" s="45"/>
    </row>
    <row r="130" spans="1:28" customFormat="1" ht="14.65" thickBot="1" x14ac:dyDescent="0.5">
      <c r="A130" s="10" t="s">
        <v>190</v>
      </c>
      <c r="B130" s="105">
        <v>129</v>
      </c>
      <c r="C130" s="4" t="s">
        <v>178</v>
      </c>
      <c r="D130" s="5" t="s">
        <v>177</v>
      </c>
      <c r="E130" s="5"/>
      <c r="F130" s="35">
        <v>44826</v>
      </c>
      <c r="G130" s="35">
        <v>46651</v>
      </c>
      <c r="H130" s="30" t="s">
        <v>179</v>
      </c>
      <c r="I130" s="114" t="s">
        <v>165</v>
      </c>
      <c r="J130" s="4" t="s">
        <v>304</v>
      </c>
      <c r="K130" s="4" t="s">
        <v>327</v>
      </c>
      <c r="L130" s="125" t="s">
        <v>166</v>
      </c>
      <c r="M130" s="4" t="s">
        <v>428</v>
      </c>
      <c r="N130" s="30"/>
      <c r="O130" s="30"/>
      <c r="P130" s="5"/>
      <c r="Q130" s="5"/>
      <c r="R130" s="5"/>
      <c r="S130" s="141"/>
      <c r="T130" s="92">
        <f>SUM(Table2[[#This Row],[A1toA3_GWP]:[C1toC4_GWP]])</f>
        <v>388.99520000000001</v>
      </c>
      <c r="U130" s="86">
        <v>385</v>
      </c>
      <c r="V130" s="154">
        <f>3.59+0.0792+0.326</f>
        <v>3.9952000000000001</v>
      </c>
      <c r="W130" s="145">
        <f t="shared" si="2"/>
        <v>1</v>
      </c>
      <c r="X130" s="160" cm="1">
        <f t="array" ref="X130">IF($W130&lt;&gt;0,
IF(AND(
                         T130&gt;=_xlfn.PERCENTILE.INC(_xlfn._xlws.FILTER($T$2:$T$148, ($L$2:$L$148=L130)*($W$2:$W$148=1)),0.1),
                         T130&lt;=_xlfn.PERCENTILE.INC(_xlfn._xlws.FILTER($T$2:$T$148, ($L$2:$L$148=L130)*($W$2:$W$148=1)),0.9)
               ),1,0),
0)</f>
        <v>0</v>
      </c>
      <c r="Y130" s="168"/>
      <c r="Z130" s="4"/>
      <c r="AA130" s="68"/>
      <c r="AB130" s="45"/>
    </row>
    <row r="131" spans="1:28" customFormat="1" x14ac:dyDescent="0.45">
      <c r="A131" s="9" t="s">
        <v>191</v>
      </c>
      <c r="B131" s="104">
        <v>130</v>
      </c>
      <c r="C131" s="2" t="s">
        <v>196</v>
      </c>
      <c r="D131" s="3" t="s">
        <v>193</v>
      </c>
      <c r="E131" s="3"/>
      <c r="F131" s="27"/>
      <c r="G131" s="27"/>
      <c r="H131" s="27" t="s">
        <v>54</v>
      </c>
      <c r="I131" s="111" t="s">
        <v>493</v>
      </c>
      <c r="J131" s="2" t="s">
        <v>304</v>
      </c>
      <c r="K131" s="2" t="s">
        <v>511</v>
      </c>
      <c r="L131" s="124" t="s">
        <v>198</v>
      </c>
      <c r="M131" s="2"/>
      <c r="N131" s="27"/>
      <c r="O131" s="27">
        <f>95.6/0.04</f>
        <v>2390</v>
      </c>
      <c r="P131" s="3"/>
      <c r="Q131" s="3"/>
      <c r="R131" s="3"/>
      <c r="S131" s="138"/>
      <c r="T131" s="90">
        <f>SUM(Table2[[#This Row],[A1toA3_GWP]:[C1toC4_GWP]])</f>
        <v>303.49372384937237</v>
      </c>
      <c r="U131" s="25">
        <f>27.4/0.04/Table2[[#This Row],[DENSITY]]*1000</f>
        <v>286.61087866108784</v>
      </c>
      <c r="V131" s="149">
        <f>(0.488+0.312+0.814)/0.04/Table2[[#This Row],[DENSITY]]*1000</f>
        <v>16.882845188284517</v>
      </c>
      <c r="W131" s="52">
        <f t="shared" si="2"/>
        <v>1</v>
      </c>
      <c r="X131" s="156" cm="1">
        <f t="array" ref="X131">IF($W131&lt;&gt;0,
IF(AND(
                         T131&gt;=_xlfn.PERCENTILE.INC(_xlfn._xlws.FILTER($T$2:$T$148, ($L$2:$L$148=L131)*($W$2:$W$148=1)),0.1),
                         T131&lt;=_xlfn.PERCENTILE.INC(_xlfn._xlws.FILTER($T$2:$T$148, ($L$2:$L$148=L131)*($W$2:$W$148=1)),0.9)
               ),1,0),
0)</f>
        <v>0</v>
      </c>
      <c r="Y131" s="165"/>
      <c r="Z131" s="2" t="s">
        <v>194</v>
      </c>
      <c r="AA131" s="68"/>
      <c r="AB131" s="45"/>
    </row>
    <row r="132" spans="1:28" customFormat="1" x14ac:dyDescent="0.45">
      <c r="A132" s="9" t="s">
        <v>192</v>
      </c>
      <c r="B132" s="104">
        <v>131</v>
      </c>
      <c r="C132" s="2" t="s">
        <v>197</v>
      </c>
      <c r="D132" s="3" t="s">
        <v>193</v>
      </c>
      <c r="E132" s="3"/>
      <c r="F132" s="27"/>
      <c r="G132" s="27"/>
      <c r="H132" s="27" t="s">
        <v>54</v>
      </c>
      <c r="I132" s="111" t="s">
        <v>493</v>
      </c>
      <c r="J132" s="2" t="s">
        <v>304</v>
      </c>
      <c r="K132" s="2" t="s">
        <v>511</v>
      </c>
      <c r="L132" s="124" t="s">
        <v>198</v>
      </c>
      <c r="M132" s="2"/>
      <c r="N132" s="27"/>
      <c r="O132" s="33">
        <f>167/0.07</f>
        <v>2385.7142857142853</v>
      </c>
      <c r="P132" s="3"/>
      <c r="Q132" s="3"/>
      <c r="R132" s="3"/>
      <c r="S132" s="138"/>
      <c r="T132" s="90">
        <f>SUM(Table2[[#This Row],[A1toA3_GWP]:[C1toC4_GWP]])</f>
        <v>325.34730538922162</v>
      </c>
      <c r="U132" s="25">
        <f>51.5/0.07/Table2[[#This Row],[DENSITY]]*1000</f>
        <v>308.38323353293418</v>
      </c>
      <c r="V132" s="149">
        <f>(0.856+0.547+1.43)/0.07/Table2[[#This Row],[DENSITY]]*1000</f>
        <v>16.964071856287426</v>
      </c>
      <c r="W132" s="52">
        <f t="shared" si="2"/>
        <v>1</v>
      </c>
      <c r="X132" s="156" cm="1">
        <f t="array" ref="X132">IF($W132&lt;&gt;0,
IF(AND(
                         T132&gt;=_xlfn.PERCENTILE.INC(_xlfn._xlws.FILTER($T$2:$T$148, ($L$2:$L$148=L132)*($W$2:$W$148=1)),0.1),
                         T132&lt;=_xlfn.PERCENTILE.INC(_xlfn._xlws.FILTER($T$2:$T$148, ($L$2:$L$148=L132)*($W$2:$W$148=1)),0.9)
               ),1,0),
0)</f>
        <v>0</v>
      </c>
      <c r="Y132" s="165"/>
      <c r="Z132" s="2" t="s">
        <v>195</v>
      </c>
      <c r="AA132" s="68"/>
      <c r="AB132" s="45"/>
    </row>
    <row r="133" spans="1:28" x14ac:dyDescent="0.45">
      <c r="E133" s="97"/>
    </row>
    <row r="1048460" spans="28:28" x14ac:dyDescent="0.45">
      <c r="AB1048460" s="75"/>
    </row>
    <row r="1048461" spans="28:28" x14ac:dyDescent="0.45">
      <c r="AB1048461" s="68"/>
    </row>
    <row r="1048462" spans="28:28" x14ac:dyDescent="0.45">
      <c r="AB1048462" s="68"/>
    </row>
    <row r="1048463" spans="28:28" x14ac:dyDescent="0.45">
      <c r="AB1048463" s="68"/>
    </row>
    <row r="1048464" spans="28:28" x14ac:dyDescent="0.45">
      <c r="AB1048464" s="68"/>
    </row>
    <row r="1048465" spans="28:28" x14ac:dyDescent="0.45">
      <c r="AB1048465" s="68"/>
    </row>
    <row r="1048466" spans="28:28" x14ac:dyDescent="0.45">
      <c r="AB1048466" s="68"/>
    </row>
    <row r="1048467" spans="28:28" x14ac:dyDescent="0.45">
      <c r="AB1048467" s="68"/>
    </row>
    <row r="1048468" spans="28:28" x14ac:dyDescent="0.45">
      <c r="AB1048468" s="173"/>
    </row>
    <row r="1048469" spans="28:28" x14ac:dyDescent="0.45">
      <c r="AB1048469" s="173"/>
    </row>
    <row r="1048470" spans="28:28" x14ac:dyDescent="0.45">
      <c r="AB1048470" s="173"/>
    </row>
    <row r="1048471" spans="28:28" x14ac:dyDescent="0.45">
      <c r="AB1048471" s="173"/>
    </row>
    <row r="1048472" spans="28:28" x14ac:dyDescent="0.45">
      <c r="AB1048472" s="173"/>
    </row>
    <row r="1048473" spans="28:28" x14ac:dyDescent="0.45">
      <c r="AB1048473" s="173"/>
    </row>
    <row r="1048474" spans="28:28" x14ac:dyDescent="0.45">
      <c r="AB1048474" s="68"/>
    </row>
  </sheetData>
  <phoneticPr fontId="2" type="noConversion"/>
  <conditionalFormatting sqref="X1:X121">
    <cfRule type="cellIs" dxfId="1" priority="1" operator="equal">
      <formula>1</formula>
    </cfRule>
  </conditionalFormatting>
  <conditionalFormatting sqref="X122:X1048576">
    <cfRule type="cellIs" dxfId="0" priority="3" operator="equal">
      <formula>1</formula>
    </cfRule>
  </conditionalFormatting>
  <pageMargins left="0.7" right="0.7" top="0.75" bottom="0.75" header="0.3" footer="0.3"/>
  <pageSetup orientation="portrait" r:id="rId1"/>
  <ignoredErrors>
    <ignoredError sqref="U40:V53 U37 U56:U61 U2:V6 U13:U26 V13:V30 U12:V12 U67:V74 U64:U65 V56:V63 U78:V89 U77 U91:V92 V90 U76:V76 V75 U94:V94 U93 U28:U29" calculatedColumn="1"/>
    <ignoredError sqref="C53:C54" numberStoredAsText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I8"/>
  <sheetViews>
    <sheetView workbookViewId="0">
      <selection activeCell="A2" sqref="A2:A8"/>
    </sheetView>
  </sheetViews>
  <sheetFormatPr defaultColWidth="9.1328125" defaultRowHeight="14.25" x14ac:dyDescent="0.45"/>
  <cols>
    <col min="1" max="1" width="14.86328125" bestFit="1" customWidth="1"/>
    <col min="2" max="2" width="11.1328125" customWidth="1"/>
    <col min="3" max="3" width="27.265625" bestFit="1" customWidth="1"/>
    <col min="4" max="5" width="27.265625" customWidth="1"/>
    <col min="6" max="6" width="26.86328125" bestFit="1" customWidth="1"/>
    <col min="7" max="7" width="28.59765625" bestFit="1" customWidth="1"/>
    <col min="8" max="8" width="23.86328125" bestFit="1" customWidth="1"/>
    <col min="9" max="9" width="11.86328125" customWidth="1"/>
  </cols>
  <sheetData>
    <row r="1" spans="1:9" x14ac:dyDescent="0.45">
      <c r="A1" s="63" t="s">
        <v>416</v>
      </c>
      <c r="B1" s="63" t="s">
        <v>408</v>
      </c>
      <c r="C1" s="63" t="s">
        <v>409</v>
      </c>
      <c r="D1" s="63" t="s">
        <v>410</v>
      </c>
      <c r="E1" s="63" t="s">
        <v>411</v>
      </c>
      <c r="F1" s="63" t="s">
        <v>412</v>
      </c>
      <c r="G1" s="63" t="s">
        <v>413</v>
      </c>
      <c r="H1" s="63" t="s">
        <v>414</v>
      </c>
      <c r="I1" s="63" t="s">
        <v>415</v>
      </c>
    </row>
    <row r="2" spans="1:9" x14ac:dyDescent="0.45">
      <c r="A2" s="64">
        <v>1</v>
      </c>
      <c r="B2" s="64" t="s">
        <v>29</v>
      </c>
      <c r="C2" s="64">
        <v>20000000</v>
      </c>
      <c r="D2" s="64">
        <v>2300000</v>
      </c>
      <c r="E2" s="64"/>
      <c r="F2" s="64"/>
      <c r="G2" s="64">
        <v>30000000000</v>
      </c>
      <c r="H2" s="64">
        <v>25000</v>
      </c>
      <c r="I2" s="64"/>
    </row>
    <row r="3" spans="1:9" x14ac:dyDescent="0.45">
      <c r="A3" s="64">
        <v>2</v>
      </c>
      <c r="B3" s="64" t="s">
        <v>8</v>
      </c>
      <c r="C3" s="64">
        <v>25000000</v>
      </c>
      <c r="D3" s="64">
        <v>2600000</v>
      </c>
      <c r="E3" s="64"/>
      <c r="F3" s="64"/>
      <c r="G3" s="64">
        <v>32000000000</v>
      </c>
      <c r="H3" s="64">
        <v>25000</v>
      </c>
      <c r="I3" s="64"/>
    </row>
    <row r="4" spans="1:9" x14ac:dyDescent="0.45">
      <c r="A4" s="64">
        <v>3</v>
      </c>
      <c r="B4" s="64" t="s">
        <v>13</v>
      </c>
      <c r="C4" s="64">
        <v>25000000</v>
      </c>
      <c r="D4" s="64">
        <v>2900000</v>
      </c>
      <c r="E4" s="64"/>
      <c r="F4" s="64"/>
      <c r="G4" s="64">
        <v>34000000000</v>
      </c>
      <c r="H4" s="64">
        <v>25000</v>
      </c>
      <c r="I4" s="64"/>
    </row>
    <row r="5" spans="1:9" x14ac:dyDescent="0.45">
      <c r="A5" s="64">
        <v>4</v>
      </c>
      <c r="B5" s="64" t="s">
        <v>0</v>
      </c>
      <c r="C5" s="64">
        <v>500000000</v>
      </c>
      <c r="D5" s="64">
        <v>500000000</v>
      </c>
      <c r="E5" s="64"/>
      <c r="F5" s="64"/>
      <c r="G5" s="64">
        <v>205000000000</v>
      </c>
      <c r="H5" s="64"/>
      <c r="I5" s="64"/>
    </row>
    <row r="6" spans="1:9" x14ac:dyDescent="0.45">
      <c r="A6" s="64">
        <v>5</v>
      </c>
      <c r="B6" s="64" t="s">
        <v>1</v>
      </c>
      <c r="C6" s="64"/>
      <c r="D6" s="64"/>
      <c r="E6" s="64">
        <v>24000000</v>
      </c>
      <c r="F6" s="64">
        <v>1800000</v>
      </c>
      <c r="G6" s="64">
        <v>11500000000</v>
      </c>
      <c r="H6" s="64">
        <v>5000</v>
      </c>
      <c r="I6" s="64">
        <v>6.9999999999999999E-4</v>
      </c>
    </row>
    <row r="7" spans="1:9" x14ac:dyDescent="0.45">
      <c r="A7" s="64">
        <v>6</v>
      </c>
      <c r="B7" s="64" t="s">
        <v>407</v>
      </c>
      <c r="C7" s="64"/>
      <c r="D7" s="64"/>
      <c r="E7" s="64">
        <v>16000000</v>
      </c>
      <c r="F7" s="64">
        <v>1500000</v>
      </c>
      <c r="G7" s="64">
        <v>8000000000</v>
      </c>
      <c r="H7" s="64">
        <v>5000</v>
      </c>
      <c r="I7" s="64">
        <v>8.0000000000000004E-4</v>
      </c>
    </row>
    <row r="8" spans="1:9" x14ac:dyDescent="0.45">
      <c r="A8" s="65">
        <v>7</v>
      </c>
      <c r="B8" s="65" t="s">
        <v>120</v>
      </c>
      <c r="C8" s="65"/>
      <c r="D8" s="65"/>
      <c r="E8" s="65">
        <v>24000000</v>
      </c>
      <c r="F8" s="65">
        <v>1500000</v>
      </c>
      <c r="G8" s="65">
        <v>11000000000</v>
      </c>
      <c r="H8" s="65">
        <v>5000</v>
      </c>
      <c r="I8" s="65">
        <v>8.0000000000000004E-4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G7"/>
  <sheetViews>
    <sheetView workbookViewId="0">
      <selection activeCell="G12" sqref="G12"/>
    </sheetView>
  </sheetViews>
  <sheetFormatPr defaultColWidth="10.73046875" defaultRowHeight="14.25" x14ac:dyDescent="0.45"/>
  <sheetData>
    <row r="1" spans="1:7" x14ac:dyDescent="0.45">
      <c r="A1" s="1" t="s">
        <v>9</v>
      </c>
      <c r="B1" s="1" t="s">
        <v>10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</row>
    <row r="2" spans="1:7" x14ac:dyDescent="0.45">
      <c r="A2" s="54"/>
      <c r="B2" s="54" t="s">
        <v>401</v>
      </c>
      <c r="C2" s="54">
        <v>1.0999999999999999E-2</v>
      </c>
      <c r="D2" s="54" t="s">
        <v>7</v>
      </c>
      <c r="E2" s="55">
        <f>6.1/C2</f>
        <v>554.5454545454545</v>
      </c>
      <c r="F2" s="56">
        <v>8000</v>
      </c>
      <c r="G2" s="57">
        <f>7.8/C2/(E2)</f>
        <v>1.278688524590164</v>
      </c>
    </row>
    <row r="3" spans="1:7" x14ac:dyDescent="0.45">
      <c r="A3" s="58"/>
      <c r="B3" s="58" t="s">
        <v>402</v>
      </c>
      <c r="C3" s="58">
        <v>8.5000000000000006E-2</v>
      </c>
      <c r="D3" s="59">
        <v>21000000000</v>
      </c>
      <c r="E3" s="58">
        <v>1850</v>
      </c>
      <c r="F3" s="60">
        <v>22000</v>
      </c>
      <c r="G3" s="61">
        <v>0.12</v>
      </c>
    </row>
    <row r="4" spans="1:7" x14ac:dyDescent="0.45">
      <c r="A4" s="54"/>
      <c r="B4" s="54" t="s">
        <v>403</v>
      </c>
      <c r="C4" s="54" t="s">
        <v>7</v>
      </c>
      <c r="D4" s="54" t="s">
        <v>7</v>
      </c>
      <c r="E4" s="55">
        <v>80</v>
      </c>
      <c r="F4" s="56">
        <v>800</v>
      </c>
      <c r="G4" s="57">
        <f>1.1</f>
        <v>1.1000000000000001</v>
      </c>
    </row>
    <row r="5" spans="1:7" x14ac:dyDescent="0.45">
      <c r="A5" s="58"/>
      <c r="B5" s="58" t="s">
        <v>404</v>
      </c>
      <c r="C5" s="58" t="s">
        <v>7</v>
      </c>
      <c r="D5" s="58" t="s">
        <v>7</v>
      </c>
      <c r="E5" s="58">
        <v>2000</v>
      </c>
      <c r="F5" s="60">
        <v>20000</v>
      </c>
      <c r="G5" s="58">
        <v>1.7999999999999999E-2</v>
      </c>
    </row>
    <row r="6" spans="1:7" x14ac:dyDescent="0.45">
      <c r="B6" t="s">
        <v>405</v>
      </c>
      <c r="C6" t="s">
        <v>7</v>
      </c>
      <c r="D6" t="s">
        <v>7</v>
      </c>
      <c r="E6">
        <v>38</v>
      </c>
      <c r="F6" s="62">
        <v>380</v>
      </c>
      <c r="G6">
        <v>0.81599999999999995</v>
      </c>
    </row>
    <row r="7" spans="1:7" x14ac:dyDescent="0.45">
      <c r="B7" t="s">
        <v>406</v>
      </c>
      <c r="C7" t="s">
        <v>7</v>
      </c>
      <c r="D7" t="s">
        <v>7</v>
      </c>
      <c r="E7">
        <v>1200</v>
      </c>
      <c r="F7" s="62">
        <v>12000</v>
      </c>
      <c r="G7">
        <v>0.55200000000000005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material_prop</vt:lpstr>
      <vt:lpstr>floor_struc_prop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Hohenwarter  Johanna</cp:lastModifiedBy>
  <dcterms:created xsi:type="dcterms:W3CDTF">2024-07-01T08:56:09Z</dcterms:created>
  <dcterms:modified xsi:type="dcterms:W3CDTF">2026-01-21T10:43:52Z</dcterms:modified>
</cp:coreProperties>
</file>